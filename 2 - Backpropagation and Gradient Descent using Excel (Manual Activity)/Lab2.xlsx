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najp/Desktop/Project/alna/DL-Lab/"/>
    </mc:Choice>
  </mc:AlternateContent>
  <xr:revisionPtr revIDLastSave="0" documentId="13_ncr:1_{B6B97BAD-02C5-E74F-80B7-5AFC2556389A}" xr6:coauthVersionLast="47" xr6:coauthVersionMax="47" xr10:uidLastSave="{00000000-0000-0000-0000-000000000000}"/>
  <bookViews>
    <workbookView xWindow="1080" yWindow="1160" windowWidth="27640" windowHeight="16660" activeTab="1" xr2:uid="{A1CBCDF9-C62A-6F45-A6B2-DC9E77E69D08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5" i="2" l="1"/>
  <c r="L35" i="2"/>
  <c r="I35" i="2"/>
  <c r="H35" i="2"/>
  <c r="F35" i="2"/>
  <c r="E35" i="2"/>
  <c r="D35" i="2"/>
  <c r="M34" i="2"/>
  <c r="L34" i="2"/>
  <c r="I34" i="2"/>
  <c r="H34" i="2"/>
  <c r="F34" i="2"/>
  <c r="E34" i="2"/>
  <c r="D34" i="2"/>
  <c r="M33" i="2"/>
  <c r="L33" i="2"/>
  <c r="I33" i="2"/>
  <c r="H33" i="2"/>
  <c r="F33" i="2"/>
  <c r="E33" i="2"/>
  <c r="D33" i="2"/>
  <c r="M32" i="2"/>
  <c r="L32" i="2"/>
  <c r="I32" i="2"/>
  <c r="H32" i="2"/>
  <c r="F32" i="2"/>
  <c r="E32" i="2"/>
  <c r="D32" i="2"/>
  <c r="M31" i="2"/>
  <c r="L31" i="2"/>
  <c r="I31" i="2"/>
  <c r="H31" i="2"/>
  <c r="F31" i="2"/>
  <c r="E31" i="2"/>
  <c r="D31" i="2"/>
  <c r="M30" i="2"/>
  <c r="L30" i="2"/>
  <c r="I30" i="2"/>
  <c r="H30" i="2"/>
  <c r="F30" i="2"/>
  <c r="E30" i="2"/>
  <c r="D30" i="2"/>
  <c r="M29" i="2"/>
  <c r="L29" i="2"/>
  <c r="I29" i="2"/>
  <c r="H29" i="2"/>
  <c r="F29" i="2"/>
  <c r="E29" i="2"/>
  <c r="D29" i="2"/>
  <c r="M28" i="2"/>
  <c r="L28" i="2"/>
  <c r="I28" i="2"/>
  <c r="H28" i="2"/>
  <c r="F28" i="2"/>
  <c r="E28" i="2"/>
  <c r="D28" i="2"/>
  <c r="M27" i="2"/>
  <c r="L27" i="2"/>
  <c r="I27" i="2"/>
  <c r="H27" i="2"/>
  <c r="F27" i="2"/>
  <c r="E27" i="2"/>
  <c r="D27" i="2"/>
  <c r="M26" i="2"/>
  <c r="L26" i="2"/>
  <c r="I26" i="2"/>
  <c r="H26" i="2"/>
  <c r="F26" i="2"/>
  <c r="E26" i="2"/>
  <c r="D26" i="2"/>
  <c r="M25" i="2"/>
  <c r="L25" i="2"/>
  <c r="I25" i="2"/>
  <c r="H25" i="2"/>
  <c r="F25" i="2"/>
  <c r="E25" i="2"/>
  <c r="D25" i="2"/>
  <c r="M24" i="2"/>
  <c r="L24" i="2"/>
  <c r="I24" i="2"/>
  <c r="H24" i="2"/>
  <c r="F24" i="2"/>
  <c r="E24" i="2"/>
  <c r="D24" i="2"/>
  <c r="M23" i="2"/>
  <c r="L23" i="2"/>
  <c r="I23" i="2"/>
  <c r="H23" i="2"/>
  <c r="F23" i="2"/>
  <c r="E23" i="2"/>
  <c r="D23" i="2"/>
  <c r="M22" i="2"/>
  <c r="L22" i="2"/>
  <c r="I22" i="2"/>
  <c r="H22" i="2"/>
  <c r="F22" i="2"/>
  <c r="E22" i="2"/>
  <c r="D22" i="2"/>
  <c r="M21" i="2"/>
  <c r="L21" i="2"/>
  <c r="I21" i="2"/>
  <c r="H21" i="2"/>
  <c r="F21" i="2"/>
  <c r="E21" i="2"/>
  <c r="D21" i="2"/>
  <c r="M20" i="2"/>
  <c r="L20" i="2"/>
  <c r="I20" i="2"/>
  <c r="H20" i="2"/>
  <c r="F20" i="2"/>
  <c r="E20" i="2"/>
  <c r="D20" i="2"/>
  <c r="M19" i="2"/>
  <c r="L19" i="2"/>
  <c r="I19" i="2"/>
  <c r="H19" i="2"/>
  <c r="F19" i="2"/>
  <c r="E19" i="2"/>
  <c r="D19" i="2"/>
  <c r="M18" i="2"/>
  <c r="L18" i="2"/>
  <c r="I18" i="2"/>
  <c r="H18" i="2"/>
  <c r="F18" i="2"/>
  <c r="E18" i="2"/>
  <c r="D18" i="2"/>
  <c r="M17" i="2"/>
  <c r="L17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K2" i="2"/>
  <c r="J2" i="2"/>
  <c r="I2" i="2"/>
  <c r="L2" i="2" s="1"/>
  <c r="D3" i="2" s="1"/>
  <c r="F2" i="2"/>
  <c r="H2" i="2" s="1"/>
  <c r="I36" i="1"/>
  <c r="G36" i="1"/>
  <c r="F36" i="1"/>
  <c r="D36" i="1"/>
  <c r="C36" i="1"/>
  <c r="I35" i="1"/>
  <c r="H35" i="1"/>
  <c r="H36" i="1"/>
  <c r="G35" i="1"/>
  <c r="F35" i="1"/>
  <c r="D35" i="1"/>
  <c r="C35" i="1"/>
  <c r="I34" i="1"/>
  <c r="G34" i="1"/>
  <c r="F34" i="1"/>
  <c r="D34" i="1"/>
  <c r="C34" i="1"/>
  <c r="I33" i="1"/>
  <c r="G33" i="1"/>
  <c r="F33" i="1"/>
  <c r="D33" i="1"/>
  <c r="C33" i="1"/>
  <c r="I32" i="1"/>
  <c r="H32" i="1"/>
  <c r="H33" i="1"/>
  <c r="H34" i="1"/>
  <c r="G32" i="1"/>
  <c r="F32" i="1"/>
  <c r="D32" i="1"/>
  <c r="C32" i="1"/>
  <c r="I31" i="1"/>
  <c r="G31" i="1"/>
  <c r="F31" i="1"/>
  <c r="D31" i="1"/>
  <c r="C31" i="1"/>
  <c r="I30" i="1"/>
  <c r="G30" i="1"/>
  <c r="F30" i="1"/>
  <c r="D30" i="1"/>
  <c r="C30" i="1"/>
  <c r="I29" i="1"/>
  <c r="G29" i="1"/>
  <c r="F29" i="1"/>
  <c r="D29" i="1"/>
  <c r="C29" i="1"/>
  <c r="I28" i="1"/>
  <c r="G28" i="1"/>
  <c r="F28" i="1"/>
  <c r="D28" i="1"/>
  <c r="C28" i="1"/>
  <c r="I27" i="1"/>
  <c r="G27" i="1"/>
  <c r="F27" i="1"/>
  <c r="D27" i="1"/>
  <c r="C27" i="1"/>
  <c r="I26" i="1"/>
  <c r="G26" i="1"/>
  <c r="F26" i="1"/>
  <c r="D26" i="1"/>
  <c r="C26" i="1"/>
  <c r="I25" i="1"/>
  <c r="G25" i="1"/>
  <c r="F25" i="1"/>
  <c r="D25" i="1"/>
  <c r="C25" i="1"/>
  <c r="I24" i="1"/>
  <c r="G24" i="1"/>
  <c r="F24" i="1"/>
  <c r="D24" i="1"/>
  <c r="C24" i="1"/>
  <c r="I23" i="1"/>
  <c r="G23" i="1"/>
  <c r="F23" i="1"/>
  <c r="D23" i="1"/>
  <c r="C23" i="1"/>
  <c r="I22" i="1"/>
  <c r="G22" i="1"/>
  <c r="F22" i="1"/>
  <c r="D22" i="1"/>
  <c r="C22" i="1"/>
  <c r="I21" i="1"/>
  <c r="G21" i="1"/>
  <c r="F21" i="1"/>
  <c r="D21" i="1"/>
  <c r="C21" i="1"/>
  <c r="I20" i="1"/>
  <c r="G20" i="1"/>
  <c r="F20" i="1"/>
  <c r="D20" i="1"/>
  <c r="C20" i="1"/>
  <c r="I19" i="1"/>
  <c r="G19" i="1"/>
  <c r="F19" i="1"/>
  <c r="D19" i="1"/>
  <c r="C19" i="1"/>
  <c r="I18" i="1"/>
  <c r="G18" i="1"/>
  <c r="F18" i="1"/>
  <c r="D18" i="1"/>
  <c r="C18" i="1"/>
  <c r="I17" i="1"/>
  <c r="G17" i="1"/>
  <c r="F17" i="1"/>
  <c r="D17" i="1"/>
  <c r="C17" i="1"/>
  <c r="I16" i="1"/>
  <c r="G16" i="1"/>
  <c r="F16" i="1"/>
  <c r="D16" i="1"/>
  <c r="C16" i="1"/>
  <c r="I15" i="1"/>
  <c r="G15" i="1"/>
  <c r="F15" i="1"/>
  <c r="D15" i="1"/>
  <c r="C15" i="1"/>
  <c r="I14" i="1"/>
  <c r="G14" i="1"/>
  <c r="F14" i="1"/>
  <c r="D14" i="1"/>
  <c r="C14" i="1"/>
  <c r="I13" i="1"/>
  <c r="G13" i="1"/>
  <c r="F13" i="1"/>
  <c r="D13" i="1"/>
  <c r="C13" i="1"/>
  <c r="I12" i="1"/>
  <c r="G12" i="1"/>
  <c r="F12" i="1"/>
  <c r="D12" i="1"/>
  <c r="C12" i="1"/>
  <c r="I11" i="1"/>
  <c r="G11" i="1"/>
  <c r="F11" i="1"/>
  <c r="D11" i="1"/>
  <c r="C11" i="1"/>
  <c r="I10" i="1"/>
  <c r="G10" i="1"/>
  <c r="F10" i="1"/>
  <c r="D10" i="1"/>
  <c r="C10" i="1"/>
  <c r="I9" i="1"/>
  <c r="G9" i="1"/>
  <c r="F9" i="1"/>
  <c r="D9" i="1"/>
  <c r="C9" i="1"/>
  <c r="I8" i="1"/>
  <c r="G8" i="1"/>
  <c r="F8" i="1"/>
  <c r="D8" i="1"/>
  <c r="C8" i="1"/>
  <c r="I7" i="1"/>
  <c r="G7" i="1"/>
  <c r="F7" i="1"/>
  <c r="D7" i="1"/>
  <c r="C7" i="1"/>
  <c r="I6" i="1"/>
  <c r="G6" i="1"/>
  <c r="F6" i="1"/>
  <c r="D6" i="1"/>
  <c r="C6" i="1"/>
  <c r="I5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G5" i="1"/>
  <c r="F5" i="1"/>
  <c r="D5" i="1"/>
  <c r="D4" i="1"/>
  <c r="C5" i="1"/>
  <c r="I4" i="1"/>
  <c r="G4" i="1"/>
  <c r="F4" i="1"/>
  <c r="C4" i="1"/>
  <c r="I3" i="1"/>
  <c r="H3" i="1"/>
  <c r="H4" i="1"/>
  <c r="G3" i="1"/>
  <c r="F3" i="1"/>
  <c r="D3" i="1"/>
  <c r="C3" i="1"/>
  <c r="I2" i="1"/>
  <c r="H2" i="1"/>
  <c r="G2" i="1"/>
  <c r="F2" i="1"/>
  <c r="D2" i="1"/>
  <c r="M2" i="2" l="1"/>
  <c r="E3" i="2" s="1"/>
  <c r="F3" i="2" l="1"/>
  <c r="H3" i="2" l="1"/>
  <c r="I3" i="2"/>
  <c r="M3" i="2" l="1"/>
  <c r="E4" i="2" s="1"/>
  <c r="L3" i="2"/>
  <c r="D4" i="2" s="1"/>
  <c r="F4" i="2" s="1"/>
  <c r="I4" i="2" l="1"/>
  <c r="H4" i="2"/>
  <c r="L4" i="2" l="1"/>
  <c r="D5" i="2" s="1"/>
  <c r="M4" i="2"/>
  <c r="E5" i="2" s="1"/>
  <c r="F5" i="2" l="1"/>
  <c r="I5" i="2" l="1"/>
  <c r="H5" i="2"/>
  <c r="M5" i="2" l="1"/>
  <c r="E6" i="2" s="1"/>
  <c r="L5" i="2"/>
  <c r="D6" i="2" s="1"/>
  <c r="F6" i="2" s="1"/>
  <c r="H6" i="2" l="1"/>
  <c r="I6" i="2"/>
  <c r="L6" i="2" l="1"/>
  <c r="D7" i="2" s="1"/>
  <c r="M6" i="2"/>
  <c r="E7" i="2" s="1"/>
  <c r="F7" i="2" l="1"/>
  <c r="I7" i="2" l="1"/>
  <c r="H7" i="2"/>
  <c r="L7" i="2" l="1"/>
  <c r="D8" i="2" s="1"/>
  <c r="M7" i="2"/>
  <c r="E8" i="2" s="1"/>
  <c r="F8" i="2" l="1"/>
  <c r="H8" i="2" l="1"/>
  <c r="I8" i="2"/>
  <c r="M8" i="2" l="1"/>
  <c r="E9" i="2" s="1"/>
  <c r="L8" i="2"/>
  <c r="D9" i="2" s="1"/>
  <c r="F9" i="2" s="1"/>
  <c r="H9" i="2" l="1"/>
  <c r="I9" i="2"/>
  <c r="M9" i="2" l="1"/>
  <c r="E10" i="2" s="1"/>
  <c r="L9" i="2"/>
  <c r="D10" i="2" s="1"/>
  <c r="F10" i="2" s="1"/>
  <c r="H10" i="2"/>
  <c r="I10" i="2"/>
  <c r="M10" i="2" l="1"/>
  <c r="E11" i="2" s="1"/>
  <c r="L10" i="2"/>
  <c r="D11" i="2" s="1"/>
  <c r="F11" i="2" l="1"/>
  <c r="I11" i="2" l="1"/>
  <c r="H11" i="2"/>
  <c r="M11" i="2" l="1"/>
  <c r="E12" i="2" s="1"/>
  <c r="L11" i="2"/>
  <c r="D12" i="2" s="1"/>
  <c r="F12" i="2" l="1"/>
  <c r="I12" i="2" l="1"/>
  <c r="H12" i="2"/>
  <c r="L12" i="2" l="1"/>
  <c r="D13" i="2" s="1"/>
  <c r="M12" i="2"/>
  <c r="E13" i="2" s="1"/>
  <c r="F13" i="2" l="1"/>
  <c r="I13" i="2" l="1"/>
  <c r="H13" i="2"/>
  <c r="M13" i="2" l="1"/>
  <c r="E14" i="2" s="1"/>
  <c r="L13" i="2"/>
  <c r="D14" i="2" s="1"/>
  <c r="F14" i="2" l="1"/>
  <c r="I14" i="2" l="1"/>
  <c r="H14" i="2"/>
  <c r="L14" i="2" l="1"/>
  <c r="D15" i="2" s="1"/>
  <c r="M14" i="2"/>
  <c r="E15" i="2" s="1"/>
  <c r="F15" i="2" l="1"/>
  <c r="H15" i="2" l="1"/>
  <c r="I15" i="2"/>
  <c r="M15" i="2" l="1"/>
  <c r="E16" i="2" s="1"/>
  <c r="L15" i="2"/>
  <c r="D16" i="2" s="1"/>
  <c r="F16" i="2" l="1"/>
  <c r="I16" i="2" l="1"/>
  <c r="H16" i="2"/>
  <c r="L16" i="2" l="1"/>
  <c r="D17" i="2" s="1"/>
  <c r="M16" i="2"/>
  <c r="E17" i="2" s="1"/>
  <c r="F17" i="2" l="1"/>
  <c r="I17" i="2" l="1"/>
  <c r="H17" i="2"/>
</calcChain>
</file>

<file path=xl/sharedStrings.xml><?xml version="1.0" encoding="utf-8"?>
<sst xmlns="http://schemas.openxmlformats.org/spreadsheetml/2006/main" count="24" uniqueCount="18">
  <si>
    <t>Iteration</t>
  </si>
  <si>
    <t>Input (X)</t>
  </si>
  <si>
    <t>Weight (w)</t>
  </si>
  <si>
    <t>Output (a)</t>
  </si>
  <si>
    <t>Actual (y)</t>
  </si>
  <si>
    <t>Cost (c)</t>
  </si>
  <si>
    <t>dc/da</t>
  </si>
  <si>
    <t>Da/dw</t>
  </si>
  <si>
    <t>Dc/dw</t>
  </si>
  <si>
    <t>Alpha</t>
  </si>
  <si>
    <t>Input (X1)</t>
  </si>
  <si>
    <t>Input (X2)</t>
  </si>
  <si>
    <t>Weight (w1)</t>
  </si>
  <si>
    <t>Weight (w2)</t>
  </si>
  <si>
    <t>Da/dw1</t>
  </si>
  <si>
    <t>Da/dw2</t>
  </si>
  <si>
    <t>Dc/dw1</t>
  </si>
  <si>
    <t>Dc/dw2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</si>
</sst>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358705161854769E-2"/>
          <c:y val="0.14856481481481484"/>
          <c:w val="0.87764129483814524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Cost (c)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Sheet1!$F$2:$F$36</c:f>
              <c:numCache>
                <c:formatCode>General</c:formatCode>
                <c:ptCount val="35"/>
                <c:pt idx="0">
                  <c:v>1012.5</c:v>
                </c:pt>
                <c:pt idx="1">
                  <c:v>608.1328125</c:v>
                </c:pt>
                <c:pt idx="2">
                  <c:v>365.25977050781256</c:v>
                </c:pt>
                <c:pt idx="3">
                  <c:v>219.38414966125495</c:v>
                </c:pt>
                <c:pt idx="4">
                  <c:v>131.76760489029115</c:v>
                </c:pt>
                <c:pt idx="5">
                  <c:v>79.142917687231161</c:v>
                </c:pt>
                <c:pt idx="6">
                  <c:v>47.535214935893215</c:v>
                </c:pt>
                <c:pt idx="7">
                  <c:v>28.550838470870861</c:v>
                </c:pt>
                <c:pt idx="8">
                  <c:v>17.148347356566791</c:v>
                </c:pt>
                <c:pt idx="9">
                  <c:v>10.299726131037998</c:v>
                </c:pt>
                <c:pt idx="10">
                  <c:v>6.1862730074547159</c:v>
                </c:pt>
                <c:pt idx="11">
                  <c:v>3.7156302251024549</c:v>
                </c:pt>
                <c:pt idx="12">
                  <c:v>2.2317004039521868</c:v>
                </c:pt>
                <c:pt idx="13">
                  <c:v>1.3404150551237728</c:v>
                </c:pt>
                <c:pt idx="14">
                  <c:v>0.80508679248370973</c:v>
                </c:pt>
                <c:pt idx="15">
                  <c:v>0.48355525473553029</c:v>
                </c:pt>
                <c:pt idx="16">
                  <c:v>0.29043537487553356</c:v>
                </c:pt>
                <c:pt idx="17">
                  <c:v>0.17444274703462426</c:v>
                </c:pt>
                <c:pt idx="18">
                  <c:v>0.10477467493767152</c:v>
                </c:pt>
                <c:pt idx="19">
                  <c:v>6.293028913443556E-2</c:v>
                </c:pt>
                <c:pt idx="20">
                  <c:v>3.7797504911371724E-2</c:v>
                </c:pt>
                <c:pt idx="21">
                  <c:v>2.2702126387391885E-2</c:v>
                </c:pt>
                <c:pt idx="22">
                  <c:v>1.3635464661428306E-2</c:v>
                </c:pt>
                <c:pt idx="23">
                  <c:v>8.1898009622693307E-3</c:v>
                </c:pt>
                <c:pt idx="24">
                  <c:v>4.9189992029643557E-3</c:v>
                </c:pt>
                <c:pt idx="25">
                  <c:v>2.9544738962806573E-3</c:v>
                </c:pt>
                <c:pt idx="26">
                  <c:v>1.7745308839532735E-3</c:v>
                </c:pt>
                <c:pt idx="27">
                  <c:v>1.0658276121737788E-3</c:v>
                </c:pt>
                <c:pt idx="28">
                  <c:v>6.4016270956213019E-4</c:v>
                </c:pt>
                <c:pt idx="29">
                  <c:v>3.8449772743075444E-4</c:v>
                </c:pt>
                <c:pt idx="30">
                  <c:v>2.3093894753825722E-4</c:v>
                </c:pt>
                <c:pt idx="31">
                  <c:v>1.3870770536507105E-4</c:v>
                </c:pt>
                <c:pt idx="32">
                  <c:v>8.3311315535065486E-5</c:v>
                </c:pt>
                <c:pt idx="33">
                  <c:v>5.0038858893220276E-5</c:v>
                </c:pt>
                <c:pt idx="34">
                  <c:v>3.0054589622795515E-5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47-1C46-87B0-FF1E6B58F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4619584"/>
        <c:axId val="2114621376"/>
      </c:lineChart>
      <c:catAx>
        <c:axId val="2114619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621376"/>
        <c:crosses val="autoZero"/>
        <c:auto val="1"/>
        <c:lblAlgn val="ctr"/>
        <c:lblOffset val="100"/>
        <c:noMultiLvlLbl val="0"/>
      </c:catAx>
      <c:valAx>
        <c:axId val="211462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619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Dc/dw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Sheet1!$I$2:$I$36</c:f>
              <c:numCache>
                <c:formatCode>General</c:formatCode>
                <c:ptCount val="35"/>
                <c:pt idx="0">
                  <c:v>675</c:v>
                </c:pt>
                <c:pt idx="1">
                  <c:v>523.125</c:v>
                </c:pt>
                <c:pt idx="2">
                  <c:v>405.42187500000006</c:v>
                </c:pt>
                <c:pt idx="3">
                  <c:v>314.20195312500005</c:v>
                </c:pt>
                <c:pt idx="4">
                  <c:v>243.50651367187496</c:v>
                </c:pt>
                <c:pt idx="5">
                  <c:v>188.71754809570314</c:v>
                </c:pt>
                <c:pt idx="6">
                  <c:v>146.25609977416991</c:v>
                </c:pt>
                <c:pt idx="7">
                  <c:v>113.34847732498169</c:v>
                </c:pt>
                <c:pt idx="8">
                  <c:v>87.845069926860759</c:v>
                </c:pt>
                <c:pt idx="9">
                  <c:v>68.079929193317312</c:v>
                </c:pt>
                <c:pt idx="10">
                  <c:v>52.761945124820997</c:v>
                </c:pt>
                <c:pt idx="11">
                  <c:v>40.890507471736086</c:v>
                </c:pt>
                <c:pt idx="12">
                  <c:v>31.690143290595643</c:v>
                </c:pt>
                <c:pt idx="13">
                  <c:v>24.559861050211538</c:v>
                </c:pt>
                <c:pt idx="14">
                  <c:v>19.033892313913867</c:v>
                </c:pt>
                <c:pt idx="15">
                  <c:v>14.751266543283279</c:v>
                </c:pt>
                <c:pt idx="16">
                  <c:v>11.432231571044653</c:v>
                </c:pt>
                <c:pt idx="17">
                  <c:v>8.8599794675597821</c:v>
                </c:pt>
                <c:pt idx="18">
                  <c:v>6.8664840873588417</c:v>
                </c:pt>
                <c:pt idx="19">
                  <c:v>5.3215251677029585</c:v>
                </c:pt>
                <c:pt idx="20">
                  <c:v>4.1241820049698674</c:v>
                </c:pt>
                <c:pt idx="21">
                  <c:v>3.196241053851594</c:v>
                </c:pt>
                <c:pt idx="22">
                  <c:v>2.4770868167350812</c:v>
                </c:pt>
                <c:pt idx="23">
                  <c:v>1.9197422829695654</c:v>
                </c:pt>
                <c:pt idx="24">
                  <c:v>1.4878002693016157</c:v>
                </c:pt>
                <c:pt idx="25">
                  <c:v>1.1530452087087895</c:v>
                </c:pt>
                <c:pt idx="26">
                  <c:v>0.89361003674923722</c:v>
                </c:pt>
                <c:pt idx="27">
                  <c:v>0.69254777848044569</c:v>
                </c:pt>
                <c:pt idx="28">
                  <c:v>0.53672452832245199</c:v>
                </c:pt>
                <c:pt idx="29">
                  <c:v>0.41596150944990029</c:v>
                </c:pt>
                <c:pt idx="30">
                  <c:v>0.32237016982378464</c:v>
                </c:pt>
                <c:pt idx="31">
                  <c:v>0.24983688161334783</c:v>
                </c:pt>
                <c:pt idx="32">
                  <c:v>0.19362358325054174</c:v>
                </c:pt>
                <c:pt idx="33">
                  <c:v>0.15005827701912722</c:v>
                </c:pt>
                <c:pt idx="34">
                  <c:v>0.11629516468993017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7E-A64E-A538-E1A9595B6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7234432"/>
        <c:axId val="2107236672"/>
      </c:lineChart>
      <c:catAx>
        <c:axId val="21072344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236672"/>
        <c:crosses val="autoZero"/>
        <c:auto val="1"/>
        <c:lblAlgn val="ctr"/>
        <c:lblOffset val="100"/>
        <c:noMultiLvlLbl val="0"/>
      </c:catAx>
      <c:valAx>
        <c:axId val="210723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234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215900</xdr:colOff>
      <xdr:row>1</xdr:row>
      <xdr:rowOff>19050</xdr:rowOff>
    </xdr:from>
    <xdr:to>
      <xdr:col>16</xdr:col>
      <xdr:colOff>660400</xdr:colOff>
      <xdr:row>14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00D548-E5A2-80ED-7323-165E2BFCD6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241300</xdr:colOff>
      <xdr:row>16</xdr:row>
      <xdr:rowOff>107950</xdr:rowOff>
    </xdr:from>
    <xdr:to>
      <xdr:col>16</xdr:col>
      <xdr:colOff>685800</xdr:colOff>
      <xdr:row>30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7307FD-A4F6-71B6-506D-541AF7C1A8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367B1-6790-AC42-8029-1EA06226C5B1}">
  <dimension ref="A1:J36"/>
  <sheetViews>
    <sheetView topLeftCell="A4" workbookViewId="0">
      <selection activeCell="I1" sqref="I1:I36"/>
    </sheetView>
  </sheetViews>
  <sheetFormatPr baseColWidth="10" defaultRowHeight="16" x14ac:dyDescent="0.2"/>
  <sheetData>
    <row r="1" spans="1:10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>
        <v>1</v>
      </c>
      <c r="B2">
        <v>15</v>
      </c>
      <c r="C2">
        <v>8</v>
      </c>
      <c r="D2">
        <f>B2*C2</f>
        <v>120</v>
      </c>
      <c r="E2">
        <v>75</v>
      </c>
      <c r="F2">
        <f>0.5*(D2-E2)^2</f>
        <v>1012.5</v>
      </c>
      <c r="G2">
        <f>D2-E2</f>
        <v>45</v>
      </c>
      <c r="H2">
        <f>B2</f>
        <v>15</v>
      </c>
      <c r="I2">
        <f>G2*H2</f>
        <v>675</v>
      </c>
      <c r="J2">
        <v>1E-3</v>
      </c>
    </row>
    <row r="3" spans="1:10" x14ac:dyDescent="0.2">
      <c r="A3">
        <v>2</v>
      </c>
      <c r="B3">
        <v>15</v>
      </c>
      <c r="C3">
        <f>C2-(J2*I2)</f>
        <v>7.3250000000000002</v>
      </c>
      <c r="D3">
        <f>B3*C3</f>
        <v>109.875</v>
      </c>
      <c r="E3">
        <v>75</v>
      </c>
      <c r="F3">
        <f>0.5*(D3-E3)^2</f>
        <v>608.1328125</v>
      </c>
      <c r="G3">
        <f>D3-E3</f>
        <v>34.875</v>
      </c>
      <c r="H3">
        <f t="shared" ref="H3:H36" si="0">B3</f>
        <v>15</v>
      </c>
      <c r="I3">
        <f>G3*H3</f>
        <v>523.125</v>
      </c>
      <c r="J3">
        <v>1E-3</v>
      </c>
    </row>
    <row r="4" spans="1:10" x14ac:dyDescent="0.2">
      <c r="A4">
        <v>3</v>
      </c>
      <c r="B4">
        <v>15</v>
      </c>
      <c r="C4">
        <f t="shared" ref="C4:C36" si="1">C3-(J3*I3)</f>
        <v>6.8018749999999999</v>
      </c>
      <c r="D4">
        <f>B4*C4</f>
        <v>102.028125</v>
      </c>
      <c r="E4">
        <v>75</v>
      </c>
      <c r="F4">
        <f>0.5*(D4-E4)^2</f>
        <v>365.25977050781256</v>
      </c>
      <c r="G4">
        <f>D4-E4</f>
        <v>27.028125000000003</v>
      </c>
      <c r="H4">
        <f t="shared" si="0"/>
        <v>15</v>
      </c>
      <c r="I4">
        <f>G4*H4</f>
        <v>405.42187500000006</v>
      </c>
      <c r="J4">
        <v>1E-3</v>
      </c>
    </row>
    <row r="5" spans="1:10" x14ac:dyDescent="0.2">
      <c r="A5">
        <v>4</v>
      </c>
      <c r="B5">
        <v>15</v>
      </c>
      <c r="C5">
        <f t="shared" si="1"/>
        <v>6.3964531249999999</v>
      </c>
      <c r="D5">
        <f>B5*C5</f>
        <v>95.946796875000004</v>
      </c>
      <c r="E5">
        <v>75</v>
      </c>
      <c r="F5">
        <f>0.5*(D5-E5)^2</f>
        <v>219.38414966125495</v>
      </c>
      <c r="G5">
        <f>D5-E5</f>
        <v>20.946796875000004</v>
      </c>
      <c r="H5">
        <f t="shared" si="0"/>
        <v>15</v>
      </c>
      <c r="I5">
        <f>G5*H5</f>
        <v>314.20195312500005</v>
      </c>
      <c r="J5">
        <v>1E-3</v>
      </c>
    </row>
    <row r="6" spans="1:10" x14ac:dyDescent="0.2">
      <c r="A6">
        <v>5</v>
      </c>
      <c r="B6">
        <v>15</v>
      </c>
      <c r="C6">
        <f t="shared" si="1"/>
        <v>6.0822511718749999</v>
      </c>
      <c r="D6">
        <f>B6*C6</f>
        <v>91.233767578124997</v>
      </c>
      <c r="E6">
        <v>75</v>
      </c>
      <c r="F6">
        <f>0.5*(D6-E6)^2</f>
        <v>131.76760489029115</v>
      </c>
      <c r="G6">
        <f>D6-E6</f>
        <v>16.233767578124997</v>
      </c>
      <c r="H6">
        <f t="shared" si="0"/>
        <v>15</v>
      </c>
      <c r="I6">
        <f>G6*H6</f>
        <v>243.50651367187496</v>
      </c>
      <c r="J6">
        <v>1E-3</v>
      </c>
    </row>
    <row r="7" spans="1:10" x14ac:dyDescent="0.2">
      <c r="A7">
        <v>6</v>
      </c>
      <c r="B7">
        <v>15</v>
      </c>
      <c r="C7">
        <f t="shared" si="1"/>
        <v>5.838744658203125</v>
      </c>
      <c r="D7">
        <f>B7*C7</f>
        <v>87.581169873046875</v>
      </c>
      <c r="E7">
        <v>75</v>
      </c>
      <c r="F7">
        <f>0.5*(D7-E7)^2</f>
        <v>79.142917687231161</v>
      </c>
      <c r="G7">
        <f>D7-E7</f>
        <v>12.581169873046875</v>
      </c>
      <c r="H7">
        <f t="shared" si="0"/>
        <v>15</v>
      </c>
      <c r="I7">
        <f>G7*H7</f>
        <v>188.71754809570314</v>
      </c>
      <c r="J7">
        <v>1E-3</v>
      </c>
    </row>
    <row r="8" spans="1:10" x14ac:dyDescent="0.2">
      <c r="A8">
        <v>7</v>
      </c>
      <c r="B8">
        <v>15</v>
      </c>
      <c r="C8">
        <f t="shared" si="1"/>
        <v>5.6500271101074215</v>
      </c>
      <c r="D8">
        <f>B8*C8</f>
        <v>84.750406651611328</v>
      </c>
      <c r="E8">
        <v>75</v>
      </c>
      <c r="F8">
        <f>0.5*(D8-E8)^2</f>
        <v>47.535214935893215</v>
      </c>
      <c r="G8">
        <f>D8-E8</f>
        <v>9.7504066516113284</v>
      </c>
      <c r="H8">
        <f t="shared" si="0"/>
        <v>15</v>
      </c>
      <c r="I8">
        <f>G8*H8</f>
        <v>146.25609977416991</v>
      </c>
      <c r="J8">
        <v>1E-3</v>
      </c>
    </row>
    <row r="9" spans="1:10" x14ac:dyDescent="0.2">
      <c r="A9">
        <v>8</v>
      </c>
      <c r="B9">
        <v>15</v>
      </c>
      <c r="C9">
        <f t="shared" si="1"/>
        <v>5.503771010333252</v>
      </c>
      <c r="D9">
        <f>B9*C9</f>
        <v>82.556565154998779</v>
      </c>
      <c r="E9">
        <v>75</v>
      </c>
      <c r="F9">
        <f>0.5*(D9-E9)^2</f>
        <v>28.550838470870861</v>
      </c>
      <c r="G9">
        <f>D9-E9</f>
        <v>7.5565651549987791</v>
      </c>
      <c r="H9">
        <f t="shared" si="0"/>
        <v>15</v>
      </c>
      <c r="I9">
        <f>G9*H9</f>
        <v>113.34847732498169</v>
      </c>
      <c r="J9">
        <v>1E-3</v>
      </c>
    </row>
    <row r="10" spans="1:10" x14ac:dyDescent="0.2">
      <c r="A10">
        <v>9</v>
      </c>
      <c r="B10">
        <v>15</v>
      </c>
      <c r="C10">
        <f t="shared" si="1"/>
        <v>5.3904225330082705</v>
      </c>
      <c r="D10">
        <f>B10*C10</f>
        <v>80.856337995124051</v>
      </c>
      <c r="E10">
        <v>75</v>
      </c>
      <c r="F10">
        <f>0.5*(D10-E10)^2</f>
        <v>17.148347356566791</v>
      </c>
      <c r="G10">
        <f>D10-E10</f>
        <v>5.8563379951240506</v>
      </c>
      <c r="H10">
        <f t="shared" si="0"/>
        <v>15</v>
      </c>
      <c r="I10">
        <f>G10*H10</f>
        <v>87.845069926860759</v>
      </c>
      <c r="J10">
        <v>1E-3</v>
      </c>
    </row>
    <row r="11" spans="1:10" x14ac:dyDescent="0.2">
      <c r="A11">
        <v>10</v>
      </c>
      <c r="B11">
        <v>15</v>
      </c>
      <c r="C11">
        <f t="shared" si="1"/>
        <v>5.30257746308141</v>
      </c>
      <c r="D11">
        <f>B11*C11</f>
        <v>79.538661946221154</v>
      </c>
      <c r="E11">
        <v>75</v>
      </c>
      <c r="F11">
        <f>0.5*(D11-E11)^2</f>
        <v>10.299726131037998</v>
      </c>
      <c r="G11">
        <f>D11-E11</f>
        <v>4.5386619462211542</v>
      </c>
      <c r="H11">
        <f t="shared" si="0"/>
        <v>15</v>
      </c>
      <c r="I11">
        <f>G11*H11</f>
        <v>68.079929193317312</v>
      </c>
      <c r="J11">
        <v>1E-3</v>
      </c>
    </row>
    <row r="12" spans="1:10" x14ac:dyDescent="0.2">
      <c r="A12">
        <v>11</v>
      </c>
      <c r="B12">
        <v>15</v>
      </c>
      <c r="C12">
        <f t="shared" si="1"/>
        <v>5.234497533888093</v>
      </c>
      <c r="D12">
        <f>B12*C12</f>
        <v>78.5174630083214</v>
      </c>
      <c r="E12">
        <v>75</v>
      </c>
      <c r="F12">
        <f>0.5*(D12-E12)^2</f>
        <v>6.1862730074547159</v>
      </c>
      <c r="G12">
        <f>D12-E12</f>
        <v>3.5174630083213998</v>
      </c>
      <c r="H12">
        <f t="shared" si="0"/>
        <v>15</v>
      </c>
      <c r="I12">
        <f>G12*H12</f>
        <v>52.761945124820997</v>
      </c>
      <c r="J12">
        <v>1E-3</v>
      </c>
    </row>
    <row r="13" spans="1:10" x14ac:dyDescent="0.2">
      <c r="A13">
        <v>12</v>
      </c>
      <c r="B13">
        <v>15</v>
      </c>
      <c r="C13">
        <f t="shared" si="1"/>
        <v>5.1817355887632717</v>
      </c>
      <c r="D13">
        <f>B13*C13</f>
        <v>77.726033831449072</v>
      </c>
      <c r="E13">
        <v>75</v>
      </c>
      <c r="F13">
        <f>0.5*(D13-E13)^2</f>
        <v>3.7156302251024549</v>
      </c>
      <c r="G13">
        <f>D13-E13</f>
        <v>2.7260338314490724</v>
      </c>
      <c r="H13">
        <f t="shared" si="0"/>
        <v>15</v>
      </c>
      <c r="I13">
        <f>G13*H13</f>
        <v>40.890507471736086</v>
      </c>
      <c r="J13">
        <v>1E-3</v>
      </c>
    </row>
    <row r="14" spans="1:10" x14ac:dyDescent="0.2">
      <c r="A14">
        <v>13</v>
      </c>
      <c r="B14">
        <v>15</v>
      </c>
      <c r="C14">
        <f t="shared" si="1"/>
        <v>5.1408450812915358</v>
      </c>
      <c r="D14">
        <f>B14*C14</f>
        <v>77.112676219373043</v>
      </c>
      <c r="E14">
        <v>75</v>
      </c>
      <c r="F14">
        <f>0.5*(D14-E14)^2</f>
        <v>2.2317004039521868</v>
      </c>
      <c r="G14">
        <f>D14-E14</f>
        <v>2.1126762193730428</v>
      </c>
      <c r="H14">
        <f t="shared" si="0"/>
        <v>15</v>
      </c>
      <c r="I14">
        <f>G14*H14</f>
        <v>31.690143290595643</v>
      </c>
      <c r="J14">
        <v>1E-3</v>
      </c>
    </row>
    <row r="15" spans="1:10" x14ac:dyDescent="0.2">
      <c r="A15">
        <v>14</v>
      </c>
      <c r="B15">
        <v>15</v>
      </c>
      <c r="C15">
        <f t="shared" si="1"/>
        <v>5.1091549380009402</v>
      </c>
      <c r="D15">
        <f>B15*C15</f>
        <v>76.637324070014103</v>
      </c>
      <c r="E15">
        <v>75</v>
      </c>
      <c r="F15">
        <f>0.5*(D15-E15)^2</f>
        <v>1.3404150551237728</v>
      </c>
      <c r="G15">
        <f>D15-E15</f>
        <v>1.6373240700141025</v>
      </c>
      <c r="H15">
        <f t="shared" si="0"/>
        <v>15</v>
      </c>
      <c r="I15">
        <f>G15*H15</f>
        <v>24.559861050211538</v>
      </c>
      <c r="J15">
        <v>1E-3</v>
      </c>
    </row>
    <row r="16" spans="1:10" x14ac:dyDescent="0.2">
      <c r="A16">
        <v>15</v>
      </c>
      <c r="B16">
        <v>15</v>
      </c>
      <c r="C16">
        <f t="shared" si="1"/>
        <v>5.0845950769507287</v>
      </c>
      <c r="D16">
        <f>B16*C16</f>
        <v>76.268926154260924</v>
      </c>
      <c r="E16">
        <v>75</v>
      </c>
      <c r="F16">
        <f>0.5*(D16-E16)^2</f>
        <v>0.80508679248370973</v>
      </c>
      <c r="G16">
        <f>D16-E16</f>
        <v>1.2689261542609245</v>
      </c>
      <c r="H16">
        <f t="shared" si="0"/>
        <v>15</v>
      </c>
      <c r="I16">
        <f>G16*H16</f>
        <v>19.033892313913867</v>
      </c>
      <c r="J16">
        <v>1E-3</v>
      </c>
    </row>
    <row r="17" spans="1:10" x14ac:dyDescent="0.2">
      <c r="A17">
        <v>16</v>
      </c>
      <c r="B17">
        <v>15</v>
      </c>
      <c r="C17">
        <f t="shared" si="1"/>
        <v>5.0655611846368149</v>
      </c>
      <c r="D17">
        <f>B17*C17</f>
        <v>75.983417769552219</v>
      </c>
      <c r="E17">
        <v>75</v>
      </c>
      <c r="F17">
        <f>0.5*(D17-E17)^2</f>
        <v>0.48355525473553029</v>
      </c>
      <c r="G17">
        <f>D17-E17</f>
        <v>0.9834177695522186</v>
      </c>
      <c r="H17">
        <f t="shared" si="0"/>
        <v>15</v>
      </c>
      <c r="I17">
        <f>G17*H17</f>
        <v>14.751266543283279</v>
      </c>
      <c r="J17">
        <v>1E-3</v>
      </c>
    </row>
    <row r="18" spans="1:10" x14ac:dyDescent="0.2">
      <c r="A18">
        <v>17</v>
      </c>
      <c r="B18">
        <v>15</v>
      </c>
      <c r="C18">
        <f t="shared" si="1"/>
        <v>5.050809918093532</v>
      </c>
      <c r="D18">
        <f>B18*C18</f>
        <v>75.762148771402977</v>
      </c>
      <c r="E18">
        <v>75</v>
      </c>
      <c r="F18">
        <f>0.5*(D18-E18)^2</f>
        <v>0.29043537487553356</v>
      </c>
      <c r="G18">
        <f>D18-E18</f>
        <v>0.76214877140297688</v>
      </c>
      <c r="H18">
        <f t="shared" si="0"/>
        <v>15</v>
      </c>
      <c r="I18">
        <f>G18*H18</f>
        <v>11.432231571044653</v>
      </c>
      <c r="J18">
        <v>1E-3</v>
      </c>
    </row>
    <row r="19" spans="1:10" x14ac:dyDescent="0.2">
      <c r="A19">
        <v>18</v>
      </c>
      <c r="B19">
        <v>15</v>
      </c>
      <c r="C19">
        <f t="shared" si="1"/>
        <v>5.0393776865224877</v>
      </c>
      <c r="D19">
        <f>B19*C19</f>
        <v>75.590665297837319</v>
      </c>
      <c r="E19">
        <v>75</v>
      </c>
      <c r="F19">
        <f>0.5*(D19-E19)^2</f>
        <v>0.17444274703462426</v>
      </c>
      <c r="G19">
        <f>D19-E19</f>
        <v>0.5906652978373188</v>
      </c>
      <c r="H19">
        <f t="shared" si="0"/>
        <v>15</v>
      </c>
      <c r="I19">
        <f>G19*H19</f>
        <v>8.8599794675597821</v>
      </c>
      <c r="J19">
        <v>1E-3</v>
      </c>
    </row>
    <row r="20" spans="1:10" x14ac:dyDescent="0.2">
      <c r="A20">
        <v>19</v>
      </c>
      <c r="B20">
        <v>15</v>
      </c>
      <c r="C20">
        <f t="shared" si="1"/>
        <v>5.0305177070549281</v>
      </c>
      <c r="D20">
        <f>B20*C20</f>
        <v>75.457765605823923</v>
      </c>
      <c r="E20">
        <v>75</v>
      </c>
      <c r="F20">
        <f>0.5*(D20-E20)^2</f>
        <v>0.10477467493767152</v>
      </c>
      <c r="G20">
        <f>D20-E20</f>
        <v>0.45776560582392278</v>
      </c>
      <c r="H20">
        <f t="shared" si="0"/>
        <v>15</v>
      </c>
      <c r="I20">
        <f>G20*H20</f>
        <v>6.8664840873588417</v>
      </c>
      <c r="J20">
        <v>1E-3</v>
      </c>
    </row>
    <row r="21" spans="1:10" x14ac:dyDescent="0.2">
      <c r="A21">
        <v>20</v>
      </c>
      <c r="B21">
        <v>15</v>
      </c>
      <c r="C21">
        <f t="shared" si="1"/>
        <v>5.0236512229675689</v>
      </c>
      <c r="D21">
        <f>B21*C21</f>
        <v>75.354768344513531</v>
      </c>
      <c r="E21">
        <v>75</v>
      </c>
      <c r="F21">
        <f>0.5*(D21-E21)^2</f>
        <v>6.293028913443556E-2</v>
      </c>
      <c r="G21">
        <f>D21-E21</f>
        <v>0.35476834451353056</v>
      </c>
      <c r="H21">
        <f t="shared" si="0"/>
        <v>15</v>
      </c>
      <c r="I21">
        <f>G21*H21</f>
        <v>5.3215251677029585</v>
      </c>
      <c r="J21">
        <v>1E-3</v>
      </c>
    </row>
    <row r="22" spans="1:10" x14ac:dyDescent="0.2">
      <c r="A22">
        <v>21</v>
      </c>
      <c r="B22">
        <v>15</v>
      </c>
      <c r="C22">
        <f t="shared" si="1"/>
        <v>5.0183296977998664</v>
      </c>
      <c r="D22">
        <f>B22*C22</f>
        <v>75.274945466997991</v>
      </c>
      <c r="E22">
        <v>75</v>
      </c>
      <c r="F22">
        <f>0.5*(D22-E22)^2</f>
        <v>3.7797504911371724E-2</v>
      </c>
      <c r="G22">
        <f>D22-E22</f>
        <v>0.27494546699799116</v>
      </c>
      <c r="H22">
        <f t="shared" si="0"/>
        <v>15</v>
      </c>
      <c r="I22">
        <f>G22*H22</f>
        <v>4.1241820049698674</v>
      </c>
      <c r="J22">
        <v>1E-3</v>
      </c>
    </row>
    <row r="23" spans="1:10" x14ac:dyDescent="0.2">
      <c r="A23">
        <v>22</v>
      </c>
      <c r="B23">
        <v>15</v>
      </c>
      <c r="C23">
        <f t="shared" si="1"/>
        <v>5.0142055157948962</v>
      </c>
      <c r="D23">
        <f>B23*C23</f>
        <v>75.21308273692344</v>
      </c>
      <c r="E23">
        <v>75</v>
      </c>
      <c r="F23">
        <f>0.5*(D23-E23)^2</f>
        <v>2.2702126387391885E-2</v>
      </c>
      <c r="G23">
        <f>D23-E23</f>
        <v>0.2130827369234396</v>
      </c>
      <c r="H23">
        <f t="shared" si="0"/>
        <v>15</v>
      </c>
      <c r="I23">
        <f>G23*H23</f>
        <v>3.196241053851594</v>
      </c>
      <c r="J23">
        <v>1E-3</v>
      </c>
    </row>
    <row r="24" spans="1:10" x14ac:dyDescent="0.2">
      <c r="A24">
        <v>23</v>
      </c>
      <c r="B24">
        <v>15</v>
      </c>
      <c r="C24">
        <f t="shared" si="1"/>
        <v>5.0110092747410446</v>
      </c>
      <c r="D24">
        <f>B24*C24</f>
        <v>75.165139121115672</v>
      </c>
      <c r="E24">
        <v>75</v>
      </c>
      <c r="F24">
        <f>0.5*(D24-E24)^2</f>
        <v>1.3635464661428306E-2</v>
      </c>
      <c r="G24">
        <f>D24-E24</f>
        <v>0.16513912111567208</v>
      </c>
      <c r="H24">
        <f t="shared" si="0"/>
        <v>15</v>
      </c>
      <c r="I24">
        <f>G24*H24</f>
        <v>2.4770868167350812</v>
      </c>
      <c r="J24">
        <v>1E-3</v>
      </c>
    </row>
    <row r="25" spans="1:10" x14ac:dyDescent="0.2">
      <c r="A25">
        <v>24</v>
      </c>
      <c r="B25">
        <v>15</v>
      </c>
      <c r="C25">
        <f t="shared" si="1"/>
        <v>5.0085321879243097</v>
      </c>
      <c r="D25">
        <f>B25*C25</f>
        <v>75.127982818864638</v>
      </c>
      <c r="E25">
        <v>75</v>
      </c>
      <c r="F25">
        <f>0.5*(D25-E25)^2</f>
        <v>8.1898009622693307E-3</v>
      </c>
      <c r="G25">
        <f>D25-E25</f>
        <v>0.12798281886463769</v>
      </c>
      <c r="H25">
        <f t="shared" si="0"/>
        <v>15</v>
      </c>
      <c r="I25">
        <f>G25*H25</f>
        <v>1.9197422829695654</v>
      </c>
      <c r="J25">
        <v>1E-3</v>
      </c>
    </row>
    <row r="26" spans="1:10" x14ac:dyDescent="0.2">
      <c r="A26">
        <v>25</v>
      </c>
      <c r="B26">
        <v>15</v>
      </c>
      <c r="C26">
        <f t="shared" si="1"/>
        <v>5.0066124456413403</v>
      </c>
      <c r="D26">
        <f>B26*C26</f>
        <v>75.099186684620108</v>
      </c>
      <c r="E26">
        <v>75</v>
      </c>
      <c r="F26">
        <f>0.5*(D26-E26)^2</f>
        <v>4.9189992029643557E-3</v>
      </c>
      <c r="G26">
        <f>D26-E26</f>
        <v>9.9186684620107712E-2</v>
      </c>
      <c r="H26">
        <f t="shared" si="0"/>
        <v>15</v>
      </c>
      <c r="I26">
        <f>G26*H26</f>
        <v>1.4878002693016157</v>
      </c>
      <c r="J26">
        <v>1E-3</v>
      </c>
    </row>
    <row r="27" spans="1:10" x14ac:dyDescent="0.2">
      <c r="A27">
        <v>26</v>
      </c>
      <c r="B27">
        <v>15</v>
      </c>
      <c r="C27">
        <f t="shared" si="1"/>
        <v>5.0051246453720388</v>
      </c>
      <c r="D27">
        <f>B27*C27</f>
        <v>75.076869680580586</v>
      </c>
      <c r="E27">
        <v>75</v>
      </c>
      <c r="F27">
        <f>0.5*(D27-E27)^2</f>
        <v>2.9544738962806573E-3</v>
      </c>
      <c r="G27">
        <f>D27-E27</f>
        <v>7.6869680580585964E-2</v>
      </c>
      <c r="H27">
        <f t="shared" si="0"/>
        <v>15</v>
      </c>
      <c r="I27">
        <f>G27*H27</f>
        <v>1.1530452087087895</v>
      </c>
      <c r="J27">
        <v>1E-3</v>
      </c>
    </row>
    <row r="28" spans="1:10" x14ac:dyDescent="0.2">
      <c r="A28">
        <v>27</v>
      </c>
      <c r="B28">
        <v>15</v>
      </c>
      <c r="C28">
        <f t="shared" si="1"/>
        <v>5.0039716001633296</v>
      </c>
      <c r="D28">
        <f>B28*C28</f>
        <v>75.059574002449949</v>
      </c>
      <c r="E28">
        <v>75</v>
      </c>
      <c r="F28">
        <f>0.5*(D28-E28)^2</f>
        <v>1.7745308839532735E-3</v>
      </c>
      <c r="G28">
        <f>D28-E28</f>
        <v>5.9574002449949148E-2</v>
      </c>
      <c r="H28">
        <f t="shared" si="0"/>
        <v>15</v>
      </c>
      <c r="I28">
        <f>G28*H28</f>
        <v>0.89361003674923722</v>
      </c>
      <c r="J28">
        <v>1E-3</v>
      </c>
    </row>
    <row r="29" spans="1:10" x14ac:dyDescent="0.2">
      <c r="A29">
        <v>28</v>
      </c>
      <c r="B29">
        <v>15</v>
      </c>
      <c r="C29">
        <f t="shared" si="1"/>
        <v>5.0030779901265801</v>
      </c>
      <c r="D29">
        <f>B29*C29</f>
        <v>75.046169851898696</v>
      </c>
      <c r="E29">
        <v>75</v>
      </c>
      <c r="F29">
        <f>0.5*(D29-E29)^2</f>
        <v>1.0658276121737788E-3</v>
      </c>
      <c r="G29">
        <f>D29-E29</f>
        <v>4.6169851898696379E-2</v>
      </c>
      <c r="H29">
        <f t="shared" si="0"/>
        <v>15</v>
      </c>
      <c r="I29">
        <f>G29*H29</f>
        <v>0.69254777848044569</v>
      </c>
      <c r="J29">
        <v>1E-3</v>
      </c>
    </row>
    <row r="30" spans="1:10" x14ac:dyDescent="0.2">
      <c r="A30">
        <v>29</v>
      </c>
      <c r="B30">
        <v>15</v>
      </c>
      <c r="C30">
        <f t="shared" si="1"/>
        <v>5.0023854423480998</v>
      </c>
      <c r="D30">
        <f>B30*C30</f>
        <v>75.035781635221497</v>
      </c>
      <c r="E30">
        <v>75</v>
      </c>
      <c r="F30">
        <f>0.5*(D30-E30)^2</f>
        <v>6.4016270956213019E-4</v>
      </c>
      <c r="G30">
        <f>D30-E30</f>
        <v>3.5781635221496799E-2</v>
      </c>
      <c r="H30">
        <f t="shared" si="0"/>
        <v>15</v>
      </c>
      <c r="I30">
        <f>G30*H30</f>
        <v>0.53672452832245199</v>
      </c>
      <c r="J30">
        <v>1E-3</v>
      </c>
    </row>
    <row r="31" spans="1:10" x14ac:dyDescent="0.2">
      <c r="A31">
        <v>30</v>
      </c>
      <c r="B31">
        <v>15</v>
      </c>
      <c r="C31">
        <f t="shared" si="1"/>
        <v>5.0018487178197777</v>
      </c>
      <c r="D31">
        <f>B31*C31</f>
        <v>75.02773076729666</v>
      </c>
      <c r="E31">
        <v>75</v>
      </c>
      <c r="F31">
        <f>0.5*(D31-E31)^2</f>
        <v>3.8449772743075444E-4</v>
      </c>
      <c r="G31">
        <f>D31-E31</f>
        <v>2.7730767296660019E-2</v>
      </c>
      <c r="H31">
        <f t="shared" si="0"/>
        <v>15</v>
      </c>
      <c r="I31">
        <f>G31*H31</f>
        <v>0.41596150944990029</v>
      </c>
      <c r="J31">
        <v>1E-3</v>
      </c>
    </row>
    <row r="32" spans="1:10" x14ac:dyDescent="0.2">
      <c r="A32">
        <v>31</v>
      </c>
      <c r="B32">
        <v>15</v>
      </c>
      <c r="C32">
        <f t="shared" si="1"/>
        <v>5.0014327563103276</v>
      </c>
      <c r="D32">
        <f>B32*C32</f>
        <v>75.021491344654919</v>
      </c>
      <c r="E32">
        <v>75</v>
      </c>
      <c r="F32">
        <f>0.5*(D32-E32)^2</f>
        <v>2.3093894753825722E-4</v>
      </c>
      <c r="G32">
        <f>D32-E32</f>
        <v>2.1491344654918976E-2</v>
      </c>
      <c r="H32">
        <f t="shared" si="0"/>
        <v>15</v>
      </c>
      <c r="I32">
        <f>G32*H32</f>
        <v>0.32237016982378464</v>
      </c>
      <c r="J32">
        <v>1E-3</v>
      </c>
    </row>
    <row r="33" spans="1:10" x14ac:dyDescent="0.2">
      <c r="A33">
        <v>32</v>
      </c>
      <c r="B33">
        <v>15</v>
      </c>
      <c r="C33">
        <f t="shared" si="1"/>
        <v>5.0011103861405042</v>
      </c>
      <c r="D33">
        <f>B33*C33</f>
        <v>75.016655792107557</v>
      </c>
      <c r="E33">
        <v>75</v>
      </c>
      <c r="F33">
        <f>0.5*(D33-E33)^2</f>
        <v>1.3870770536507105E-4</v>
      </c>
      <c r="G33">
        <f>D33-E33</f>
        <v>1.6655792107556522E-2</v>
      </c>
      <c r="H33">
        <f t="shared" si="0"/>
        <v>15</v>
      </c>
      <c r="I33">
        <f>G33*H33</f>
        <v>0.24983688161334783</v>
      </c>
      <c r="J33">
        <v>1E-3</v>
      </c>
    </row>
    <row r="34" spans="1:10" x14ac:dyDescent="0.2">
      <c r="A34">
        <v>33</v>
      </c>
      <c r="B34">
        <v>15</v>
      </c>
      <c r="C34">
        <f t="shared" si="1"/>
        <v>5.0008605492588911</v>
      </c>
      <c r="D34">
        <f>B34*C34</f>
        <v>75.012908238883369</v>
      </c>
      <c r="E34">
        <v>75</v>
      </c>
      <c r="F34">
        <f>0.5*(D34-E34)^2</f>
        <v>8.3311315535065486E-5</v>
      </c>
      <c r="G34">
        <f>D34-E34</f>
        <v>1.2908238883369449E-2</v>
      </c>
      <c r="H34">
        <f t="shared" si="0"/>
        <v>15</v>
      </c>
      <c r="I34">
        <f>G34*H34</f>
        <v>0.19362358325054174</v>
      </c>
      <c r="J34">
        <v>1E-3</v>
      </c>
    </row>
    <row r="35" spans="1:10" x14ac:dyDescent="0.2">
      <c r="A35">
        <v>34</v>
      </c>
      <c r="B35">
        <v>15</v>
      </c>
      <c r="C35">
        <f t="shared" si="1"/>
        <v>5.0006669256756409</v>
      </c>
      <c r="D35">
        <f>B35*C35</f>
        <v>75.010003885134608</v>
      </c>
      <c r="E35">
        <v>75</v>
      </c>
      <c r="F35">
        <f>0.5*(D35-E35)^2</f>
        <v>5.0038858893220276E-5</v>
      </c>
      <c r="G35">
        <f>D35-E35</f>
        <v>1.0003885134608481E-2</v>
      </c>
      <c r="H35">
        <f t="shared" si="0"/>
        <v>15</v>
      </c>
      <c r="I35">
        <f>G35*H35</f>
        <v>0.15005827701912722</v>
      </c>
      <c r="J35">
        <v>1E-3</v>
      </c>
    </row>
    <row r="36" spans="1:10" x14ac:dyDescent="0.2">
      <c r="A36">
        <v>35</v>
      </c>
      <c r="B36">
        <v>15</v>
      </c>
      <c r="C36">
        <f t="shared" si="1"/>
        <v>5.0005168673986216</v>
      </c>
      <c r="D36">
        <f>B36*C36</f>
        <v>75.007753010979329</v>
      </c>
      <c r="E36">
        <v>75</v>
      </c>
      <c r="F36">
        <f>0.5*(D36-E36)^2</f>
        <v>3.0054589622795515E-5</v>
      </c>
      <c r="G36">
        <f>D36-E36</f>
        <v>7.7530109793286783E-3</v>
      </c>
      <c r="H36">
        <f t="shared" si="0"/>
        <v>15</v>
      </c>
      <c r="I36">
        <f>G36*H36</f>
        <v>0.11629516468993017</v>
      </c>
      <c r="J36">
        <v>1E-3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A52A6-BF39-2046-9BFC-133178186E32}">
  <dimension ref="A1:N35"/>
  <sheetViews>
    <sheetView tabSelected="1" topLeftCell="A6" workbookViewId="0">
      <selection activeCell="M34" sqref="M34:M35"/>
    </sheetView>
  </sheetViews>
  <sheetFormatPr baseColWidth="10" defaultRowHeight="16" x14ac:dyDescent="0.2"/>
  <cols>
    <col min="6" max="6" width="11.1640625" customWidth="1"/>
    <col min="14" max="14" width="12.1640625" customWidth="1"/>
  </cols>
  <sheetData>
    <row r="1" spans="1:14" x14ac:dyDescent="0.2">
      <c r="A1" s="3" t="s">
        <v>0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9</v>
      </c>
    </row>
    <row r="2" spans="1:14" x14ac:dyDescent="0.2">
      <c r="A2">
        <v>1</v>
      </c>
      <c r="B2">
        <v>8</v>
      </c>
      <c r="C2">
        <v>5</v>
      </c>
      <c r="D2">
        <v>2</v>
      </c>
      <c r="E2">
        <v>7.5</v>
      </c>
      <c r="F2">
        <f>B2*D2+C2*E2</f>
        <v>53.5</v>
      </c>
      <c r="G2">
        <v>64</v>
      </c>
      <c r="H2">
        <f>0.5*(F2-G2)^2</f>
        <v>55.125</v>
      </c>
      <c r="I2">
        <f>F2-G2</f>
        <v>-10.5</v>
      </c>
      <c r="J2">
        <f>B2</f>
        <v>8</v>
      </c>
      <c r="K2">
        <f>C2</f>
        <v>5</v>
      </c>
      <c r="L2">
        <f>I2*J2</f>
        <v>-84</v>
      </c>
      <c r="M2">
        <f>I2*K2</f>
        <v>-52.5</v>
      </c>
      <c r="N2">
        <v>5.0000000000000001E-3</v>
      </c>
    </row>
    <row r="3" spans="1:14" x14ac:dyDescent="0.2">
      <c r="A3">
        <v>2</v>
      </c>
      <c r="B3">
        <v>8</v>
      </c>
      <c r="C3">
        <v>5</v>
      </c>
      <c r="D3">
        <f>D2-N2*L2</f>
        <v>2.42</v>
      </c>
      <c r="E3">
        <f>E2-N2*M2</f>
        <v>7.7625000000000002</v>
      </c>
      <c r="F3">
        <f>B3*D3+C3*E3</f>
        <v>58.172499999999999</v>
      </c>
      <c r="G3">
        <v>64</v>
      </c>
      <c r="H3">
        <f>0.5*(F3-G3)^2</f>
        <v>16.979878125000003</v>
      </c>
      <c r="I3">
        <f>F3-G3</f>
        <v>-5.8275000000000006</v>
      </c>
      <c r="J3">
        <f t="shared" ref="J3:J35" si="0">B3</f>
        <v>8</v>
      </c>
      <c r="K3">
        <f t="shared" ref="K3:K35" si="1">C3</f>
        <v>5</v>
      </c>
      <c r="L3">
        <f>I3*J3</f>
        <v>-46.620000000000005</v>
      </c>
      <c r="M3">
        <f>I3*K3</f>
        <v>-29.137500000000003</v>
      </c>
      <c r="N3">
        <v>5.0000000000000001E-3</v>
      </c>
    </row>
    <row r="4" spans="1:14" x14ac:dyDescent="0.2">
      <c r="A4">
        <v>3</v>
      </c>
      <c r="B4">
        <v>8</v>
      </c>
      <c r="C4">
        <v>5</v>
      </c>
      <c r="D4">
        <f t="shared" ref="D4:D16" si="2">D3-N3*L3</f>
        <v>2.6530999999999998</v>
      </c>
      <c r="E4">
        <f>E3-N3*M3</f>
        <v>7.9081875000000004</v>
      </c>
      <c r="F4">
        <f>B4*D4+C4*E4</f>
        <v>60.7657375</v>
      </c>
      <c r="G4">
        <v>64</v>
      </c>
      <c r="H4">
        <f>0.5*(F4-G4)^2</f>
        <v>5.2302269594531241</v>
      </c>
      <c r="I4">
        <f>F4-G4</f>
        <v>-3.2342624999999998</v>
      </c>
      <c r="J4">
        <f t="shared" si="0"/>
        <v>8</v>
      </c>
      <c r="K4">
        <f t="shared" si="1"/>
        <v>5</v>
      </c>
      <c r="L4">
        <f>I4*J4</f>
        <v>-25.874099999999999</v>
      </c>
      <c r="M4">
        <f>I4*K4</f>
        <v>-16.171312499999999</v>
      </c>
      <c r="N4">
        <v>5.0000000000000001E-3</v>
      </c>
    </row>
    <row r="5" spans="1:14" x14ac:dyDescent="0.2">
      <c r="A5">
        <v>4</v>
      </c>
      <c r="B5">
        <v>8</v>
      </c>
      <c r="C5">
        <v>5</v>
      </c>
      <c r="D5">
        <f t="shared" si="2"/>
        <v>2.7824704999999996</v>
      </c>
      <c r="E5">
        <f>E4-N4*M4</f>
        <v>7.9890440625000005</v>
      </c>
      <c r="F5">
        <f>B5*D5+C5*E5</f>
        <v>62.204984312500002</v>
      </c>
      <c r="G5">
        <v>64</v>
      </c>
      <c r="H5">
        <f>0.5*(F5-G5)^2</f>
        <v>1.6110406591855446</v>
      </c>
      <c r="I5">
        <f>F5-G5</f>
        <v>-1.7950156874999976</v>
      </c>
      <c r="J5">
        <f t="shared" si="0"/>
        <v>8</v>
      </c>
      <c r="K5">
        <f t="shared" si="1"/>
        <v>5</v>
      </c>
      <c r="L5">
        <f>I5*J5</f>
        <v>-14.360125499999981</v>
      </c>
      <c r="M5">
        <f>I5*K5</f>
        <v>-8.9750784374999881</v>
      </c>
      <c r="N5">
        <v>5.0000000000000001E-3</v>
      </c>
    </row>
    <row r="6" spans="1:14" x14ac:dyDescent="0.2">
      <c r="A6">
        <v>5</v>
      </c>
      <c r="B6">
        <v>8</v>
      </c>
      <c r="C6">
        <v>5</v>
      </c>
      <c r="D6">
        <f t="shared" si="2"/>
        <v>2.8542711274999997</v>
      </c>
      <c r="E6">
        <f>E5-N5*M5</f>
        <v>8.033919454687501</v>
      </c>
      <c r="F6">
        <f>B6*D6+C6*E6</f>
        <v>63.003766293437501</v>
      </c>
      <c r="G6">
        <v>64</v>
      </c>
      <c r="H6">
        <f>0.5*(F6-G6)^2</f>
        <v>0.49624079904562801</v>
      </c>
      <c r="I6">
        <f>F6-G6</f>
        <v>-0.99623370656249932</v>
      </c>
      <c r="J6">
        <f t="shared" si="0"/>
        <v>8</v>
      </c>
      <c r="K6">
        <f t="shared" si="1"/>
        <v>5</v>
      </c>
      <c r="L6">
        <f>I6*J6</f>
        <v>-7.9698696524999946</v>
      </c>
      <c r="M6">
        <f>I6*K6</f>
        <v>-4.9811685328124966</v>
      </c>
      <c r="N6">
        <v>5.0000000000000001E-3</v>
      </c>
    </row>
    <row r="7" spans="1:14" x14ac:dyDescent="0.2">
      <c r="A7">
        <v>6</v>
      </c>
      <c r="B7">
        <v>8</v>
      </c>
      <c r="C7">
        <v>5</v>
      </c>
      <c r="D7">
        <f t="shared" si="2"/>
        <v>2.8941204757624996</v>
      </c>
      <c r="E7">
        <f>E6-N6*M6</f>
        <v>8.0588252973515644</v>
      </c>
      <c r="F7">
        <f>B7*D7+C7*E7</f>
        <v>63.447090292857816</v>
      </c>
      <c r="G7">
        <v>64</v>
      </c>
      <c r="H7">
        <f>0.5*(F7-G7)^2</f>
        <v>0.1528545721260281</v>
      </c>
      <c r="I7">
        <f>F7-G7</f>
        <v>-0.55290970714218446</v>
      </c>
      <c r="J7">
        <f t="shared" si="0"/>
        <v>8</v>
      </c>
      <c r="K7">
        <f t="shared" si="1"/>
        <v>5</v>
      </c>
      <c r="L7">
        <f>I7*J7</f>
        <v>-4.4232776571374757</v>
      </c>
      <c r="M7">
        <f>I7*K7</f>
        <v>-2.7645485357109223</v>
      </c>
      <c r="N7">
        <v>5.0000000000000001E-3</v>
      </c>
    </row>
    <row r="8" spans="1:14" x14ac:dyDescent="0.2">
      <c r="A8">
        <v>7</v>
      </c>
      <c r="B8">
        <v>8</v>
      </c>
      <c r="C8">
        <v>5</v>
      </c>
      <c r="D8">
        <f t="shared" si="2"/>
        <v>2.9162368640481868</v>
      </c>
      <c r="E8">
        <f>E7-N7*M7</f>
        <v>8.0726480400301188</v>
      </c>
      <c r="F8">
        <f>B8*D8+C8*E8</f>
        <v>63.693135112536083</v>
      </c>
      <c r="G8">
        <v>64</v>
      </c>
      <c r="H8">
        <f>0.5*(F8-G8)^2</f>
        <v>4.7083029579121104E-2</v>
      </c>
      <c r="I8">
        <f>F8-G8</f>
        <v>-0.3068648874639166</v>
      </c>
      <c r="J8">
        <f t="shared" si="0"/>
        <v>8</v>
      </c>
      <c r="K8">
        <f t="shared" si="1"/>
        <v>5</v>
      </c>
      <c r="L8">
        <f>I8*J8</f>
        <v>-2.4549190997113328</v>
      </c>
      <c r="M8">
        <f>I8*K8</f>
        <v>-1.534324437319583</v>
      </c>
      <c r="N8">
        <v>5.0000000000000001E-3</v>
      </c>
    </row>
    <row r="9" spans="1:14" x14ac:dyDescent="0.2">
      <c r="A9">
        <v>8</v>
      </c>
      <c r="B9">
        <v>8</v>
      </c>
      <c r="C9">
        <v>5</v>
      </c>
      <c r="D9">
        <f t="shared" si="2"/>
        <v>2.9285114595467436</v>
      </c>
      <c r="E9">
        <f>E8-N8*M8</f>
        <v>8.0803196622167164</v>
      </c>
      <c r="F9">
        <f>B9*D9+C9*E9</f>
        <v>63.829689987457527</v>
      </c>
      <c r="G9">
        <v>64</v>
      </c>
      <c r="H9">
        <f>0.5*(F9-G9)^2</f>
        <v>1.4502750186108583E-2</v>
      </c>
      <c r="I9">
        <f>F9-G9</f>
        <v>-0.17031001254247258</v>
      </c>
      <c r="J9">
        <f t="shared" si="0"/>
        <v>8</v>
      </c>
      <c r="K9">
        <f t="shared" si="1"/>
        <v>5</v>
      </c>
      <c r="L9">
        <f>I9*J9</f>
        <v>-1.3624801003397806</v>
      </c>
      <c r="M9">
        <f>I9*K9</f>
        <v>-0.85155006271236289</v>
      </c>
      <c r="N9">
        <v>5.0000000000000001E-3</v>
      </c>
    </row>
    <row r="10" spans="1:14" x14ac:dyDescent="0.2">
      <c r="A10">
        <v>9</v>
      </c>
      <c r="B10">
        <v>8</v>
      </c>
      <c r="C10">
        <v>5</v>
      </c>
      <c r="D10">
        <f t="shared" si="2"/>
        <v>2.9353238600484426</v>
      </c>
      <c r="E10">
        <f>E9-N9*M9</f>
        <v>8.0845774125302778</v>
      </c>
      <c r="F10">
        <f>B10*D10+C10*E10</f>
        <v>63.905477943038932</v>
      </c>
      <c r="G10">
        <v>64</v>
      </c>
      <c r="H10">
        <f>0.5*(F10-G10)^2</f>
        <v>4.4672096260757205E-3</v>
      </c>
      <c r="I10">
        <f>F10-G10</f>
        <v>-9.4522056961068301E-2</v>
      </c>
      <c r="J10">
        <f t="shared" si="0"/>
        <v>8</v>
      </c>
      <c r="K10">
        <f t="shared" si="1"/>
        <v>5</v>
      </c>
      <c r="L10">
        <f>I10*J10</f>
        <v>-0.75617645568854641</v>
      </c>
      <c r="M10">
        <f>I10*K10</f>
        <v>-0.47261028480534151</v>
      </c>
      <c r="N10">
        <v>5.0000000000000001E-3</v>
      </c>
    </row>
    <row r="11" spans="1:14" x14ac:dyDescent="0.2">
      <c r="A11">
        <v>10</v>
      </c>
      <c r="B11">
        <v>8</v>
      </c>
      <c r="C11">
        <v>5</v>
      </c>
      <c r="D11">
        <f t="shared" si="2"/>
        <v>2.9391047423268852</v>
      </c>
      <c r="E11">
        <f>E10-N10*M10</f>
        <v>8.0869404639543045</v>
      </c>
      <c r="F11">
        <f>B11*D11+C11*E11</f>
        <v>63.94754025838661</v>
      </c>
      <c r="G11">
        <v>64</v>
      </c>
      <c r="H11">
        <f>0.5*(F11-G11)^2</f>
        <v>1.3760122450718246E-3</v>
      </c>
      <c r="I11">
        <f>F11-G11</f>
        <v>-5.2459741613390065E-2</v>
      </c>
      <c r="J11">
        <f t="shared" si="0"/>
        <v>8</v>
      </c>
      <c r="K11">
        <f t="shared" si="1"/>
        <v>5</v>
      </c>
      <c r="L11">
        <f>I11*J11</f>
        <v>-0.41967793290712052</v>
      </c>
      <c r="M11">
        <f>I11*K11</f>
        <v>-0.26229870806695033</v>
      </c>
      <c r="N11">
        <v>5.0000000000000001E-3</v>
      </c>
    </row>
    <row r="12" spans="1:14" x14ac:dyDescent="0.2">
      <c r="A12">
        <v>11</v>
      </c>
      <c r="B12">
        <v>8</v>
      </c>
      <c r="C12">
        <v>5</v>
      </c>
      <c r="D12">
        <f t="shared" si="2"/>
        <v>2.9412031319914207</v>
      </c>
      <c r="E12">
        <f>E11-N11*M11</f>
        <v>8.0882519574946397</v>
      </c>
      <c r="F12">
        <f>B12*D12+C12*E12</f>
        <v>63.970884843404562</v>
      </c>
      <c r="G12">
        <v>64</v>
      </c>
      <c r="H12">
        <f>0.5*(F12-G12)^2</f>
        <v>4.2384617178843707E-4</v>
      </c>
      <c r="I12">
        <f>F12-G12</f>
        <v>-2.9115156595437952E-2</v>
      </c>
      <c r="J12">
        <f t="shared" si="0"/>
        <v>8</v>
      </c>
      <c r="K12">
        <f t="shared" si="1"/>
        <v>5</v>
      </c>
      <c r="L12">
        <f>I12*J12</f>
        <v>-0.23292125276350362</v>
      </c>
      <c r="M12">
        <f>I12*K12</f>
        <v>-0.14557578297718976</v>
      </c>
      <c r="N12">
        <v>5.0000000000000001E-3</v>
      </c>
    </row>
    <row r="13" spans="1:14" x14ac:dyDescent="0.2">
      <c r="A13">
        <v>12</v>
      </c>
      <c r="B13">
        <v>8</v>
      </c>
      <c r="C13">
        <v>5</v>
      </c>
      <c r="D13">
        <f t="shared" si="2"/>
        <v>2.9423677382552382</v>
      </c>
      <c r="E13">
        <f t="shared" ref="E13:E35" si="3">E12-N12*M12</f>
        <v>8.0889798364095249</v>
      </c>
      <c r="F13">
        <f t="shared" ref="F13:F35" si="4">B13*D13+C13*E13</f>
        <v>63.983841088089527</v>
      </c>
      <c r="G13">
        <v>64</v>
      </c>
      <c r="H13">
        <f>0.5*(F13-G13)^2</f>
        <v>1.3055521706521715E-4</v>
      </c>
      <c r="I13">
        <f>F13-G13</f>
        <v>-1.615891191047325E-2</v>
      </c>
      <c r="J13">
        <f t="shared" si="0"/>
        <v>8</v>
      </c>
      <c r="K13">
        <f t="shared" si="1"/>
        <v>5</v>
      </c>
      <c r="L13">
        <f>I13*J13</f>
        <v>-0.129271295283786</v>
      </c>
      <c r="M13">
        <f>I13*K13</f>
        <v>-8.0794559552366252E-2</v>
      </c>
      <c r="N13">
        <v>5.0000000000000001E-3</v>
      </c>
    </row>
    <row r="14" spans="1:14" x14ac:dyDescent="0.2">
      <c r="A14">
        <v>13</v>
      </c>
      <c r="B14">
        <v>8</v>
      </c>
      <c r="C14">
        <v>5</v>
      </c>
      <c r="D14">
        <f t="shared" si="2"/>
        <v>2.943014094731657</v>
      </c>
      <c r="E14">
        <f t="shared" si="3"/>
        <v>8.0893838092072876</v>
      </c>
      <c r="F14">
        <f t="shared" si="4"/>
        <v>63.991031803889697</v>
      </c>
      <c r="G14">
        <v>64</v>
      </c>
      <c r="H14">
        <f>0.5*(F14-G14)^2</f>
        <v>4.0214270736422706E-5</v>
      </c>
      <c r="I14">
        <f>F14-G14</f>
        <v>-8.9681961103025287E-3</v>
      </c>
      <c r="J14">
        <f t="shared" si="0"/>
        <v>8</v>
      </c>
      <c r="K14">
        <f t="shared" si="1"/>
        <v>5</v>
      </c>
      <c r="L14">
        <f>I14*J14</f>
        <v>-7.174556888242023E-2</v>
      </c>
      <c r="M14">
        <f>I14*K14</f>
        <v>-4.4840980551512644E-2</v>
      </c>
      <c r="N14">
        <v>5.0000000000000001E-3</v>
      </c>
    </row>
    <row r="15" spans="1:14" x14ac:dyDescent="0.2">
      <c r="A15">
        <v>14</v>
      </c>
      <c r="B15">
        <v>8</v>
      </c>
      <c r="C15">
        <v>5</v>
      </c>
      <c r="D15">
        <f t="shared" si="2"/>
        <v>2.9433728225760691</v>
      </c>
      <c r="E15">
        <f t="shared" si="3"/>
        <v>8.0896080141100448</v>
      </c>
      <c r="F15">
        <f t="shared" si="4"/>
        <v>63.995022651158777</v>
      </c>
      <c r="G15">
        <v>64</v>
      </c>
      <c r="H15">
        <f>0.5*(F15-G15)^2</f>
        <v>1.2387000743611006E-5</v>
      </c>
      <c r="I15">
        <f>F15-G15</f>
        <v>-4.9773488412228062E-3</v>
      </c>
      <c r="J15">
        <f t="shared" si="0"/>
        <v>8</v>
      </c>
      <c r="K15">
        <f t="shared" si="1"/>
        <v>5</v>
      </c>
      <c r="L15">
        <f>I15*J15</f>
        <v>-3.9818790729782449E-2</v>
      </c>
      <c r="M15">
        <f>I15*K15</f>
        <v>-2.4886744206114031E-2</v>
      </c>
      <c r="N15">
        <v>5.0000000000000001E-3</v>
      </c>
    </row>
    <row r="16" spans="1:14" x14ac:dyDescent="0.2">
      <c r="A16">
        <v>15</v>
      </c>
      <c r="B16">
        <v>8</v>
      </c>
      <c r="C16">
        <v>5</v>
      </c>
      <c r="D16">
        <f t="shared" si="2"/>
        <v>2.9435719165297178</v>
      </c>
      <c r="E16">
        <f t="shared" si="3"/>
        <v>8.089732447831075</v>
      </c>
      <c r="F16">
        <f t="shared" si="4"/>
        <v>63.997237571393114</v>
      </c>
      <c r="G16">
        <v>64</v>
      </c>
      <c r="H16">
        <f>0.5*(F16-G16)^2</f>
        <v>3.8155059040702118E-6</v>
      </c>
      <c r="I16">
        <f>F16-G16</f>
        <v>-2.7624286068856918E-3</v>
      </c>
      <c r="J16">
        <f t="shared" si="0"/>
        <v>8</v>
      </c>
      <c r="K16">
        <f t="shared" si="1"/>
        <v>5</v>
      </c>
      <c r="L16">
        <f>I16*J16</f>
        <v>-2.2099428855085534E-2</v>
      </c>
      <c r="M16">
        <f>I16*K16</f>
        <v>-1.3812143034428459E-2</v>
      </c>
      <c r="N16">
        <v>5.0000000000000001E-3</v>
      </c>
    </row>
    <row r="17" spans="1:14" x14ac:dyDescent="0.2">
      <c r="A17">
        <v>16</v>
      </c>
      <c r="B17">
        <v>8</v>
      </c>
      <c r="C17">
        <v>5</v>
      </c>
      <c r="D17">
        <f>D16-N16*L16</f>
        <v>2.9436824136739932</v>
      </c>
      <c r="E17">
        <f t="shared" si="3"/>
        <v>8.0898015085462465</v>
      </c>
      <c r="F17">
        <f t="shared" si="4"/>
        <v>63.998466852123173</v>
      </c>
      <c r="G17">
        <v>64</v>
      </c>
      <c r="H17">
        <f>0.5*(F17-G17)^2</f>
        <v>1.1752712061102688E-6</v>
      </c>
      <c r="I17">
        <f>F17-G17</f>
        <v>-1.5331478768274565E-3</v>
      </c>
      <c r="J17">
        <f t="shared" si="0"/>
        <v>8</v>
      </c>
      <c r="K17">
        <f t="shared" si="1"/>
        <v>5</v>
      </c>
      <c r="L17">
        <f>I17*J17</f>
        <v>-1.2265183014619652E-2</v>
      </c>
      <c r="M17">
        <f>I17*K17</f>
        <v>-7.6657393841372823E-3</v>
      </c>
      <c r="N17">
        <v>5.0000000000000001E-3</v>
      </c>
    </row>
    <row r="18" spans="1:14" x14ac:dyDescent="0.2">
      <c r="A18">
        <v>17</v>
      </c>
      <c r="B18">
        <v>8</v>
      </c>
      <c r="C18">
        <v>5</v>
      </c>
      <c r="D18">
        <f>D17-N17*L17</f>
        <v>2.9437437395890664</v>
      </c>
      <c r="E18">
        <f t="shared" si="3"/>
        <v>8.0898398372431668</v>
      </c>
      <c r="F18">
        <f t="shared" si="4"/>
        <v>63.999149102928371</v>
      </c>
      <c r="G18">
        <v>64</v>
      </c>
      <c r="H18">
        <f>0.5*(F18-G18)^2</f>
        <v>3.6201291325359068E-7</v>
      </c>
      <c r="I18">
        <f>F18-G18</f>
        <v>-8.5089707162921968E-4</v>
      </c>
      <c r="J18">
        <f t="shared" si="0"/>
        <v>8</v>
      </c>
      <c r="K18">
        <f t="shared" si="1"/>
        <v>5</v>
      </c>
      <c r="L18">
        <f>I18*J18</f>
        <v>-6.8071765730337574E-3</v>
      </c>
      <c r="M18">
        <f>I18*K18</f>
        <v>-4.2544853581460984E-3</v>
      </c>
      <c r="N18">
        <v>5.0000000000000001E-3</v>
      </c>
    </row>
    <row r="19" spans="1:14" x14ac:dyDescent="0.2">
      <c r="A19">
        <v>18</v>
      </c>
      <c r="B19">
        <v>8</v>
      </c>
      <c r="C19">
        <v>5</v>
      </c>
      <c r="D19">
        <f>D18-N18*L18</f>
        <v>2.9437777754719314</v>
      </c>
      <c r="E19">
        <f t="shared" si="3"/>
        <v>8.0898611096699575</v>
      </c>
      <c r="F19">
        <f t="shared" si="4"/>
        <v>63.999527752125232</v>
      </c>
      <c r="G19">
        <v>64</v>
      </c>
      <c r="H19">
        <f>0.5*(F19-G19)^2</f>
        <v>1.1150902761148055E-7</v>
      </c>
      <c r="I19">
        <f>F19-G19</f>
        <v>-4.7224787476807251E-4</v>
      </c>
      <c r="J19">
        <f t="shared" si="0"/>
        <v>8</v>
      </c>
      <c r="K19">
        <f t="shared" si="1"/>
        <v>5</v>
      </c>
      <c r="L19">
        <f>I19*J19</f>
        <v>-3.7779829981445801E-3</v>
      </c>
      <c r="M19">
        <f>I19*K19</f>
        <v>-2.3612393738403625E-3</v>
      </c>
      <c r="N19">
        <v>5.0000000000000001E-3</v>
      </c>
    </row>
    <row r="20" spans="1:14" x14ac:dyDescent="0.2">
      <c r="A20">
        <v>19</v>
      </c>
      <c r="B20">
        <v>8</v>
      </c>
      <c r="C20">
        <v>5</v>
      </c>
      <c r="D20">
        <f>D19-N19*L19</f>
        <v>2.9437966653869223</v>
      </c>
      <c r="E20">
        <f t="shared" si="3"/>
        <v>8.0898729158668274</v>
      </c>
      <c r="F20">
        <f t="shared" si="4"/>
        <v>63.999737902429516</v>
      </c>
      <c r="G20">
        <v>64</v>
      </c>
      <c r="H20">
        <f>0.5*(F20-G20)^2</f>
        <v>3.4347568226897606E-8</v>
      </c>
      <c r="I20">
        <f>F20-G20</f>
        <v>-2.6209757048434312E-4</v>
      </c>
      <c r="J20">
        <f t="shared" si="0"/>
        <v>8</v>
      </c>
      <c r="K20">
        <f t="shared" si="1"/>
        <v>5</v>
      </c>
      <c r="L20">
        <f>I20*J20</f>
        <v>-2.096780563874745E-3</v>
      </c>
      <c r="M20">
        <f>I20*K20</f>
        <v>-1.3104878524217156E-3</v>
      </c>
      <c r="N20">
        <v>5.0000000000000001E-3</v>
      </c>
    </row>
    <row r="21" spans="1:14" x14ac:dyDescent="0.2">
      <c r="A21">
        <v>20</v>
      </c>
      <c r="B21">
        <v>8</v>
      </c>
      <c r="C21">
        <v>5</v>
      </c>
      <c r="D21">
        <f>D20-N20*L20</f>
        <v>2.9438071492897415</v>
      </c>
      <c r="E21">
        <f t="shared" si="3"/>
        <v>8.0898794683060888</v>
      </c>
      <c r="F21">
        <f t="shared" si="4"/>
        <v>63.999854535848371</v>
      </c>
      <c r="G21">
        <v>64</v>
      </c>
      <c r="H21">
        <f>0.5*(F21-G21)^2</f>
        <v>1.0579909704568162E-8</v>
      </c>
      <c r="I21">
        <f>F21-G21</f>
        <v>-1.4546415162897119E-4</v>
      </c>
      <c r="J21">
        <f t="shared" si="0"/>
        <v>8</v>
      </c>
      <c r="K21">
        <f t="shared" si="1"/>
        <v>5</v>
      </c>
      <c r="L21">
        <f>I21*J21</f>
        <v>-1.1637132130317696E-3</v>
      </c>
      <c r="M21">
        <f>I21*K21</f>
        <v>-7.2732075814485597E-4</v>
      </c>
      <c r="N21">
        <v>5.0000000000000001E-3</v>
      </c>
    </row>
    <row r="22" spans="1:14" x14ac:dyDescent="0.2">
      <c r="A22">
        <v>21</v>
      </c>
      <c r="B22">
        <v>8</v>
      </c>
      <c r="C22">
        <v>5</v>
      </c>
      <c r="D22">
        <f>D21-N21*L21</f>
        <v>2.9438129678558065</v>
      </c>
      <c r="E22">
        <f t="shared" si="3"/>
        <v>8.0898831049098803</v>
      </c>
      <c r="F22">
        <f t="shared" si="4"/>
        <v>63.999919267395853</v>
      </c>
      <c r="G22">
        <v>64</v>
      </c>
      <c r="H22">
        <f>0.5*(F22-G22)^2</f>
        <v>3.2588766861587591E-9</v>
      </c>
      <c r="I22">
        <f>F22-G22</f>
        <v>-8.0732604146760423E-5</v>
      </c>
      <c r="J22">
        <f t="shared" si="0"/>
        <v>8</v>
      </c>
      <c r="K22">
        <f t="shared" si="1"/>
        <v>5</v>
      </c>
      <c r="L22">
        <f>I22*J22</f>
        <v>-6.4586083317408338E-4</v>
      </c>
      <c r="M22">
        <f>I22*K22</f>
        <v>-4.0366302073380211E-4</v>
      </c>
      <c r="N22">
        <v>5.0000000000000001E-3</v>
      </c>
    </row>
    <row r="23" spans="1:14" x14ac:dyDescent="0.2">
      <c r="A23">
        <v>22</v>
      </c>
      <c r="B23">
        <v>8</v>
      </c>
      <c r="C23">
        <v>5</v>
      </c>
      <c r="D23">
        <f>D22-N22*L22</f>
        <v>2.9438161971599723</v>
      </c>
      <c r="E23">
        <f t="shared" si="3"/>
        <v>8.0898851232249847</v>
      </c>
      <c r="F23">
        <f t="shared" si="4"/>
        <v>63.999955193404702</v>
      </c>
      <c r="G23">
        <v>64</v>
      </c>
      <c r="H23">
        <f>0.5*(F23-G23)^2</f>
        <v>1.0038154911012342E-9</v>
      </c>
      <c r="I23">
        <f>F23-G23</f>
        <v>-4.4806595298041429E-5</v>
      </c>
      <c r="J23">
        <f t="shared" si="0"/>
        <v>8</v>
      </c>
      <c r="K23">
        <f t="shared" si="1"/>
        <v>5</v>
      </c>
      <c r="L23">
        <f>I23*J23</f>
        <v>-3.5845276238433144E-4</v>
      </c>
      <c r="M23">
        <f>I23*K23</f>
        <v>-2.2403297649020715E-4</v>
      </c>
      <c r="N23">
        <v>5.0000000000000001E-3</v>
      </c>
    </row>
    <row r="24" spans="1:14" x14ac:dyDescent="0.2">
      <c r="A24">
        <v>23</v>
      </c>
      <c r="B24">
        <v>8</v>
      </c>
      <c r="C24">
        <v>5</v>
      </c>
      <c r="D24">
        <f>D23-N23*L23</f>
        <v>2.9438179894237844</v>
      </c>
      <c r="E24">
        <f t="shared" si="3"/>
        <v>8.0898862433898664</v>
      </c>
      <c r="F24">
        <f t="shared" si="4"/>
        <v>63.999975132339614</v>
      </c>
      <c r="G24">
        <v>64</v>
      </c>
      <c r="H24">
        <f>0.5*(F24-G24)^2</f>
        <v>3.0920026653690651E-10</v>
      </c>
      <c r="I24">
        <f>F24-G24</f>
        <v>-2.4867660386007628E-5</v>
      </c>
      <c r="J24">
        <f t="shared" si="0"/>
        <v>8</v>
      </c>
      <c r="K24">
        <f t="shared" si="1"/>
        <v>5</v>
      </c>
      <c r="L24">
        <f>I24*J24</f>
        <v>-1.9894128308806103E-4</v>
      </c>
      <c r="M24">
        <f>I24*K24</f>
        <v>-1.2433830193003814E-4</v>
      </c>
      <c r="N24">
        <v>5.0000000000000001E-3</v>
      </c>
    </row>
    <row r="25" spans="1:14" x14ac:dyDescent="0.2">
      <c r="A25">
        <v>24</v>
      </c>
      <c r="B25">
        <v>8</v>
      </c>
      <c r="C25">
        <v>5</v>
      </c>
      <c r="D25">
        <f>D24-N24*L24</f>
        <v>2.9438189841301998</v>
      </c>
      <c r="E25">
        <f t="shared" si="3"/>
        <v>8.0898868650813753</v>
      </c>
      <c r="F25">
        <f t="shared" si="4"/>
        <v>63.999986198448475</v>
      </c>
      <c r="G25">
        <v>64</v>
      </c>
      <c r="H25">
        <f>0.5*(F25-G25)^2</f>
        <v>9.5241412245168204E-11</v>
      </c>
      <c r="I25">
        <f>F25-G25</f>
        <v>-1.3801551524750266E-5</v>
      </c>
      <c r="J25">
        <f t="shared" si="0"/>
        <v>8</v>
      </c>
      <c r="K25">
        <f t="shared" si="1"/>
        <v>5</v>
      </c>
      <c r="L25">
        <f t="shared" ref="L25:L35" si="5">I25*J25</f>
        <v>-1.1041241219800213E-4</v>
      </c>
      <c r="M25">
        <f>I25*K25</f>
        <v>-6.9007757623751331E-5</v>
      </c>
      <c r="N25">
        <v>5.0000000000000001E-3</v>
      </c>
    </row>
    <row r="26" spans="1:14" x14ac:dyDescent="0.2">
      <c r="A26">
        <v>25</v>
      </c>
      <c r="B26">
        <v>8</v>
      </c>
      <c r="C26">
        <v>5</v>
      </c>
      <c r="D26">
        <f>D25-N25*L25</f>
        <v>2.9438195361922608</v>
      </c>
      <c r="E26">
        <f t="shared" si="3"/>
        <v>8.089887210120164</v>
      </c>
      <c r="F26">
        <f t="shared" si="4"/>
        <v>63.99999234013891</v>
      </c>
      <c r="G26">
        <v>64</v>
      </c>
      <c r="H26">
        <f>0.5*(F26-G26)^2</f>
        <v>2.9336735961371733E-11</v>
      </c>
      <c r="I26">
        <f>F26-G26</f>
        <v>-7.6598610903033659E-6</v>
      </c>
      <c r="J26">
        <f t="shared" si="0"/>
        <v>8</v>
      </c>
      <c r="K26">
        <f t="shared" si="1"/>
        <v>5</v>
      </c>
      <c r="L26">
        <f t="shared" si="5"/>
        <v>-6.1278888722426927E-5</v>
      </c>
      <c r="M26">
        <f t="shared" ref="M26:M35" si="6">I26*K26</f>
        <v>-3.829930545151683E-5</v>
      </c>
      <c r="N26">
        <v>5.0000000000000001E-3</v>
      </c>
    </row>
    <row r="27" spans="1:14" x14ac:dyDescent="0.2">
      <c r="A27">
        <v>26</v>
      </c>
      <c r="B27">
        <v>8</v>
      </c>
      <c r="C27">
        <v>5</v>
      </c>
      <c r="D27">
        <f>D26-N26*L26</f>
        <v>2.9438198425867044</v>
      </c>
      <c r="E27">
        <f t="shared" si="3"/>
        <v>8.0898874016166911</v>
      </c>
      <c r="F27">
        <f t="shared" si="4"/>
        <v>63.999995748777096</v>
      </c>
      <c r="G27">
        <v>64</v>
      </c>
      <c r="H27">
        <f>0.5*(F27-G27)^2</f>
        <v>9.0364480913298192E-12</v>
      </c>
      <c r="I27">
        <f>F27-G27</f>
        <v>-4.2512229043722982E-6</v>
      </c>
      <c r="J27">
        <f t="shared" si="0"/>
        <v>8</v>
      </c>
      <c r="K27">
        <f t="shared" si="1"/>
        <v>5</v>
      </c>
      <c r="L27">
        <f t="shared" si="5"/>
        <v>-3.4009783234978386E-5</v>
      </c>
      <c r="M27">
        <f t="shared" si="6"/>
        <v>-2.1256114521861491E-5</v>
      </c>
      <c r="N27">
        <v>5.0000000000000001E-3</v>
      </c>
    </row>
    <row r="28" spans="1:14" x14ac:dyDescent="0.2">
      <c r="A28">
        <v>27</v>
      </c>
      <c r="B28">
        <v>8</v>
      </c>
      <c r="C28">
        <v>5</v>
      </c>
      <c r="D28">
        <f>D27-N27*L27</f>
        <v>2.9438200126356207</v>
      </c>
      <c r="E28">
        <f t="shared" si="3"/>
        <v>8.089887507897263</v>
      </c>
      <c r="F28">
        <f t="shared" si="4"/>
        <v>63.99999764057128</v>
      </c>
      <c r="G28">
        <v>64</v>
      </c>
      <c r="H28">
        <f>0.5*(F28-G28)^2</f>
        <v>2.7834519422760344E-12</v>
      </c>
      <c r="I28">
        <f>F28-G28</f>
        <v>-2.3594287199557584E-6</v>
      </c>
      <c r="J28">
        <f t="shared" si="0"/>
        <v>8</v>
      </c>
      <c r="K28">
        <f t="shared" si="1"/>
        <v>5</v>
      </c>
      <c r="L28">
        <f t="shared" si="5"/>
        <v>-1.8875429759646067E-5</v>
      </c>
      <c r="M28">
        <f t="shared" si="6"/>
        <v>-1.1797143599778792E-5</v>
      </c>
      <c r="N28">
        <v>5.0000000000000001E-3</v>
      </c>
    </row>
    <row r="29" spans="1:14" x14ac:dyDescent="0.2">
      <c r="A29">
        <v>28</v>
      </c>
      <c r="B29">
        <v>8</v>
      </c>
      <c r="C29">
        <v>5</v>
      </c>
      <c r="D29">
        <f>D28-N28*L28</f>
        <v>2.9438201070127694</v>
      </c>
      <c r="E29">
        <f t="shared" si="3"/>
        <v>8.0898875668829806</v>
      </c>
      <c r="F29">
        <f t="shared" si="4"/>
        <v>63.99999869051706</v>
      </c>
      <c r="G29">
        <v>64</v>
      </c>
      <c r="H29">
        <f>0.5*(F29-G29)^2</f>
        <v>8.5737278489175292E-13</v>
      </c>
      <c r="I29">
        <f>F29-G29</f>
        <v>-1.309482939859663E-6</v>
      </c>
      <c r="J29">
        <f t="shared" si="0"/>
        <v>8</v>
      </c>
      <c r="K29">
        <f t="shared" si="1"/>
        <v>5</v>
      </c>
      <c r="L29">
        <f t="shared" si="5"/>
        <v>-1.0475863518877304E-5</v>
      </c>
      <c r="M29">
        <f t="shared" si="6"/>
        <v>-6.5474146992983151E-6</v>
      </c>
      <c r="N29">
        <v>5.0000000000000001E-3</v>
      </c>
    </row>
    <row r="30" spans="1:14" x14ac:dyDescent="0.2">
      <c r="A30">
        <v>29</v>
      </c>
      <c r="B30">
        <v>8</v>
      </c>
      <c r="C30">
        <v>5</v>
      </c>
      <c r="D30">
        <f>D29-N29*L29</f>
        <v>2.9438201593920872</v>
      </c>
      <c r="E30">
        <f t="shared" si="3"/>
        <v>8.0898875996200541</v>
      </c>
      <c r="F30">
        <f t="shared" si="4"/>
        <v>63.999999273236966</v>
      </c>
      <c r="G30">
        <v>64</v>
      </c>
      <c r="H30">
        <f>0.5*(F30-G30)^2</f>
        <v>2.6409225361547077E-13</v>
      </c>
      <c r="I30">
        <f>F30-G30</f>
        <v>-7.2676303375374118E-7</v>
      </c>
      <c r="J30">
        <f t="shared" si="0"/>
        <v>8</v>
      </c>
      <c r="K30">
        <f t="shared" si="1"/>
        <v>5</v>
      </c>
      <c r="L30">
        <f t="shared" si="5"/>
        <v>-5.8141042700299295E-6</v>
      </c>
      <c r="M30">
        <f t="shared" si="6"/>
        <v>-3.6338151687687059E-6</v>
      </c>
      <c r="N30">
        <v>5.0000000000000001E-3</v>
      </c>
    </row>
    <row r="31" spans="1:14" x14ac:dyDescent="0.2">
      <c r="A31">
        <v>30</v>
      </c>
      <c r="B31">
        <v>8</v>
      </c>
      <c r="C31">
        <v>5</v>
      </c>
      <c r="D31">
        <f>D30-N30*L30</f>
        <v>2.9438201884626087</v>
      </c>
      <c r="E31">
        <f t="shared" si="3"/>
        <v>8.0898876177891292</v>
      </c>
      <c r="F31">
        <f t="shared" si="4"/>
        <v>63.999999596646518</v>
      </c>
      <c r="G31">
        <v>64</v>
      </c>
      <c r="H31">
        <f>0.5*(F31-G31)^2</f>
        <v>8.1347015789385633E-14</v>
      </c>
      <c r="I31">
        <f>F31-G31</f>
        <v>-4.0335348217013234E-7</v>
      </c>
      <c r="J31">
        <f t="shared" si="0"/>
        <v>8</v>
      </c>
      <c r="K31">
        <f t="shared" si="1"/>
        <v>5</v>
      </c>
      <c r="L31">
        <f t="shared" si="5"/>
        <v>-3.2268278573610587E-6</v>
      </c>
      <c r="M31">
        <f t="shared" si="6"/>
        <v>-2.0167674108506617E-6</v>
      </c>
      <c r="N31">
        <v>5.0000000000000001E-3</v>
      </c>
    </row>
    <row r="32" spans="1:14" x14ac:dyDescent="0.2">
      <c r="A32">
        <v>31</v>
      </c>
      <c r="B32">
        <v>8</v>
      </c>
      <c r="C32">
        <v>5</v>
      </c>
      <c r="D32">
        <f>D31-N31*L31</f>
        <v>2.9438202045967481</v>
      </c>
      <c r="E32">
        <f t="shared" si="3"/>
        <v>8.089887627872967</v>
      </c>
      <c r="F32">
        <f t="shared" si="4"/>
        <v>63.999999776138822</v>
      </c>
      <c r="G32">
        <v>64</v>
      </c>
      <c r="H32">
        <f>0.5*(F32-G32)^2</f>
        <v>2.5056913615960483E-14</v>
      </c>
      <c r="I32">
        <f>F32-G32</f>
        <v>-2.2386117848327558E-7</v>
      </c>
      <c r="J32">
        <f t="shared" si="0"/>
        <v>8</v>
      </c>
      <c r="K32">
        <f t="shared" si="1"/>
        <v>5</v>
      </c>
      <c r="L32">
        <f t="shared" si="5"/>
        <v>-1.7908894278662046E-6</v>
      </c>
      <c r="M32">
        <f t="shared" si="6"/>
        <v>-1.1193058924163779E-6</v>
      </c>
      <c r="N32">
        <v>5.0000000000000001E-3</v>
      </c>
    </row>
    <row r="33" spans="1:14" x14ac:dyDescent="0.2">
      <c r="A33">
        <v>32</v>
      </c>
      <c r="B33">
        <v>8</v>
      </c>
      <c r="C33">
        <v>5</v>
      </c>
      <c r="D33">
        <f>D32-N32*L32</f>
        <v>2.9438202135511951</v>
      </c>
      <c r="E33">
        <f t="shared" si="3"/>
        <v>8.0898876334694965</v>
      </c>
      <c r="F33">
        <f t="shared" si="4"/>
        <v>63.999999875757041</v>
      </c>
      <c r="G33">
        <v>64</v>
      </c>
      <c r="H33">
        <f>0.5*(F33-G33)^2</f>
        <v>7.7181564345157394E-15</v>
      </c>
      <c r="I33">
        <f>F33-G33</f>
        <v>-1.242429590320171E-7</v>
      </c>
      <c r="J33">
        <f t="shared" si="0"/>
        <v>8</v>
      </c>
      <c r="K33">
        <f t="shared" si="1"/>
        <v>5</v>
      </c>
      <c r="L33">
        <f t="shared" si="5"/>
        <v>-9.9394367225613678E-7</v>
      </c>
      <c r="M33">
        <f t="shared" si="6"/>
        <v>-6.2121479516008549E-7</v>
      </c>
      <c r="N33">
        <v>5.0000000000000001E-3</v>
      </c>
    </row>
    <row r="34" spans="1:14" x14ac:dyDescent="0.2">
      <c r="A34">
        <v>33</v>
      </c>
      <c r="B34">
        <v>8</v>
      </c>
      <c r="C34">
        <v>5</v>
      </c>
      <c r="D34">
        <f>D33-N33*L33</f>
        <v>2.9438202185209135</v>
      </c>
      <c r="E34">
        <f t="shared" si="3"/>
        <v>8.0898876365755701</v>
      </c>
      <c r="F34">
        <f t="shared" si="4"/>
        <v>63.999999931045153</v>
      </c>
      <c r="G34">
        <v>64</v>
      </c>
      <c r="H34">
        <f>0.5*(F34-G34)^2</f>
        <v>2.3773854738097223E-15</v>
      </c>
      <c r="I34">
        <f>F34-G34</f>
        <v>-6.8954847165514366E-8</v>
      </c>
      <c r="J34">
        <f t="shared" si="0"/>
        <v>8</v>
      </c>
      <c r="K34">
        <f t="shared" si="1"/>
        <v>5</v>
      </c>
      <c r="L34">
        <f t="shared" si="5"/>
        <v>-5.5163877732411493E-7</v>
      </c>
      <c r="M34">
        <f t="shared" si="6"/>
        <v>-3.4477423582757183E-7</v>
      </c>
      <c r="N34">
        <v>5.0000000000000001E-3</v>
      </c>
    </row>
    <row r="35" spans="1:14" x14ac:dyDescent="0.2">
      <c r="A35">
        <v>34</v>
      </c>
      <c r="B35">
        <v>8</v>
      </c>
      <c r="C35">
        <v>5</v>
      </c>
      <c r="D35">
        <f>D34-N34*L34</f>
        <v>2.9438202212791071</v>
      </c>
      <c r="E35">
        <f t="shared" si="3"/>
        <v>8.0898876382994409</v>
      </c>
      <c r="F35">
        <f t="shared" si="4"/>
        <v>63.999999961730069</v>
      </c>
      <c r="G35">
        <v>64</v>
      </c>
      <c r="H35">
        <f>0.5*(F35-G35)^2</f>
        <v>7.322938179456871E-16</v>
      </c>
      <c r="I35">
        <f>F35-G35</f>
        <v>-3.8269931224022002E-8</v>
      </c>
      <c r="J35">
        <f t="shared" si="0"/>
        <v>8</v>
      </c>
      <c r="K35">
        <f t="shared" si="1"/>
        <v>5</v>
      </c>
      <c r="L35">
        <f t="shared" si="5"/>
        <v>-3.0615944979217602E-7</v>
      </c>
      <c r="M35">
        <f t="shared" si="6"/>
        <v>-1.9134965612011001E-7</v>
      </c>
      <c r="N35">
        <v>5.0000000000000001E-3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Alna JP</dc:creator>
  <cp:lastModifiedBy>Alna JP</cp:lastModifiedBy>
  <dcterms:created xsi:type="dcterms:W3CDTF">2026-04-21T14:59:39Z</dcterms:created>
  <dcterms:modified xsi:type="dcterms:W3CDTF">2026-04-21T17:10:57Z</dcterms:modified>
</cp:coreProperties>
</file>