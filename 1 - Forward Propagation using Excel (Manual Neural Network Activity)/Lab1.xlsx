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najp/Desktop/Project/alna/DL-Lab/"/>
    </mc:Choice>
  </mc:AlternateContent>
  <xr:revisionPtr revIDLastSave="0" documentId="13_ncr:1_{4B8B4C8E-84A4-DB47-B49D-80F78CCE7786}" xr6:coauthVersionLast="47" xr6:coauthVersionMax="47" xr10:uidLastSave="{00000000-0000-0000-0000-000000000000}"/>
  <bookViews>
    <workbookView xWindow="680" yWindow="660" windowWidth="28040" windowHeight="17060" activeTab="3" xr2:uid="{9A649DFD-FADA-424B-AE28-F21810ADD35A}"/>
  </bookViews>
  <sheets>
    <sheet name="Dataset" sheetId="1" r:id="rId1"/>
    <sheet name="Standardized data" sheetId="2" r:id="rId2"/>
    <sheet name="Hidden layer weights" sheetId="3" r:id="rId3"/>
    <sheet name="Validation" sheetId="4" r:id="rId4"/>
  </sheets>
  <definedNames>
    <definedName name="solver_adj" localSheetId="2" hidden="1">'Hidden layer weights'!$B$3:$E$7,'Hidden layer weights'!$A$12:$F$12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ng" localSheetId="3" hidden="1">1</definedName>
    <definedName name="solver_itr" localSheetId="2" hidden="1">2147483647</definedName>
    <definedName name="solver_lin" localSheetId="2" hidden="1">2</definedName>
    <definedName name="solver_lin" localSheetId="3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1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um" localSheetId="2" hidden="1">0</definedName>
    <definedName name="solver_num" localSheetId="3" hidden="1">0</definedName>
    <definedName name="solver_opt" localSheetId="2" hidden="1">'Hidden layer weights'!$T$2</definedName>
    <definedName name="solver_opt" localSheetId="3" hidden="1">Validation!$F$2</definedName>
    <definedName name="solver_pre" localSheetId="2" hidden="1">0.000001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typ" localSheetId="3" hidden="1">2</definedName>
    <definedName name="solver_val" localSheetId="2" hidden="1">0</definedName>
    <definedName name="solver_val" localSheetId="3" hidden="1">0</definedName>
    <definedName name="solver_ver" localSheetId="2" hidden="1">2</definedName>
    <definedName name="solver_ver" localSheetId="3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M4" i="4"/>
  <c r="M3" i="4"/>
  <c r="M2" i="4"/>
  <c r="D3" i="4"/>
  <c r="D6" i="4"/>
  <c r="C6" i="4"/>
  <c r="B6" i="4"/>
  <c r="A6" i="4"/>
  <c r="J5" i="4" s="1"/>
  <c r="D5" i="4"/>
  <c r="C5" i="4"/>
  <c r="J4" i="4" s="1"/>
  <c r="B5" i="4"/>
  <c r="A5" i="4"/>
  <c r="G4" i="4" s="1"/>
  <c r="D4" i="4"/>
  <c r="C4" i="4"/>
  <c r="H3" i="4" s="1"/>
  <c r="B4" i="4"/>
  <c r="A4" i="4"/>
  <c r="C3" i="4"/>
  <c r="B3" i="4"/>
  <c r="A3" i="4"/>
  <c r="J2" i="4" s="1"/>
  <c r="O2" i="3"/>
  <c r="I2" i="4"/>
  <c r="G3" i="4"/>
  <c r="I2" i="3"/>
  <c r="F2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2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3" i="2"/>
  <c r="G4" i="1"/>
  <c r="H4" i="1"/>
  <c r="I4" i="1"/>
  <c r="F4" i="1"/>
  <c r="I3" i="1"/>
  <c r="H3" i="1"/>
  <c r="G3" i="1"/>
  <c r="F3" i="1"/>
  <c r="J3" i="4" l="1"/>
  <c r="F5" i="4"/>
  <c r="F3" i="4"/>
  <c r="H2" i="4"/>
  <c r="G2" i="4"/>
  <c r="I3" i="4"/>
  <c r="H5" i="4"/>
  <c r="F4" i="4"/>
  <c r="L4" i="4" s="1"/>
  <c r="G5" i="4"/>
  <c r="L2" i="4"/>
  <c r="H4" i="4"/>
  <c r="I5" i="4"/>
  <c r="I4" i="4"/>
  <c r="O10" i="3"/>
  <c r="Q10" i="3" s="1"/>
  <c r="O11" i="3"/>
  <c r="Q11" i="3" s="1"/>
  <c r="O12" i="3"/>
  <c r="Q12" i="3" s="1"/>
  <c r="O6" i="3"/>
  <c r="Q6" i="3" s="1"/>
  <c r="O5" i="3"/>
  <c r="Q5" i="3" s="1"/>
  <c r="O9" i="3"/>
  <c r="Q9" i="3" s="1"/>
  <c r="O8" i="3"/>
  <c r="Q8" i="3" s="1"/>
  <c r="O17" i="3"/>
  <c r="Q17" i="3" s="1"/>
  <c r="O16" i="3"/>
  <c r="Q16" i="3" s="1"/>
  <c r="O4" i="3"/>
  <c r="Q4" i="3" s="1"/>
  <c r="Q2" i="3"/>
  <c r="O7" i="3"/>
  <c r="Q7" i="3" s="1"/>
  <c r="O15" i="3"/>
  <c r="Q15" i="3" s="1"/>
  <c r="O14" i="3"/>
  <c r="Q14" i="3" s="1"/>
  <c r="O13" i="3"/>
  <c r="Q13" i="3" s="1"/>
  <c r="O3" i="3"/>
  <c r="Q3" i="3" s="1"/>
  <c r="L3" i="4" l="1"/>
  <c r="L5" i="4"/>
  <c r="T2" i="3"/>
</calcChain>
</file>

<file path=xl/sharedStrings.xml><?xml version="1.0" encoding="utf-8"?>
<sst xmlns="http://schemas.openxmlformats.org/spreadsheetml/2006/main" count="60" uniqueCount="35">
  <si>
    <t>INPUT</t>
  </si>
  <si>
    <t>OUTPUT</t>
  </si>
  <si>
    <t>Number of Rooms</t>
  </si>
  <si>
    <t>Number of Residents</t>
  </si>
  <si>
    <t>Average Temp (°C)</t>
  </si>
  <si>
    <t>Energy Consumption (kWh)</t>
  </si>
  <si>
    <t>Validation</t>
  </si>
  <si>
    <t>Mean</t>
  </si>
  <si>
    <t>Standard Deviation</t>
  </si>
  <si>
    <t>INPUT LAYER WEIGHTS</t>
  </si>
  <si>
    <t>NODE1</t>
  </si>
  <si>
    <t>NODE2</t>
  </si>
  <si>
    <t>NODE3</t>
  </si>
  <si>
    <t>NODE4</t>
  </si>
  <si>
    <t>NODE5</t>
  </si>
  <si>
    <t>W_1j</t>
  </si>
  <si>
    <t>W_2j</t>
  </si>
  <si>
    <t>W_3j</t>
  </si>
  <si>
    <t>bias</t>
  </si>
  <si>
    <t>OUTPUT LAYER WEIGHTS</t>
  </si>
  <si>
    <t>node 1(z1)</t>
  </si>
  <si>
    <t>node 2(z2)</t>
  </si>
  <si>
    <t>node 3(z3)</t>
  </si>
  <si>
    <t>node4 (z4)</t>
  </si>
  <si>
    <t>node5 (z5)</t>
  </si>
  <si>
    <t>W (Node1)</t>
  </si>
  <si>
    <t>W (Node5)</t>
  </si>
  <si>
    <t>W (Node4)</t>
  </si>
  <si>
    <t>W (Node3)</t>
  </si>
  <si>
    <t>W (Node2)</t>
  </si>
  <si>
    <t>Predicted Y1</t>
  </si>
  <si>
    <t>Actual Y1</t>
  </si>
  <si>
    <t>Error</t>
  </si>
  <si>
    <t xml:space="preserve">Validation </t>
  </si>
  <si>
    <t>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</si>
</sst>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62270341207349E-2"/>
          <c:y val="0.11850685331000292"/>
          <c:w val="0.872905074365704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712139107611548"/>
                  <c:y val="1.86351706036745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'Hidden layer weights'!$O$2:$O$17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0.70584807472577171</c:v>
                </c:pt>
                <c:pt idx="3">
                  <c:v>0</c:v>
                </c:pt>
                <c:pt idx="4">
                  <c:v>1.4523171244365507</c:v>
                </c:pt>
                <c:pt idx="5">
                  <c:v>0</c:v>
                </c:pt>
                <c:pt idx="6">
                  <c:v>0.13943522262060043</c:v>
                </c:pt>
                <c:pt idx="7">
                  <c:v>0.49085708802304007</c:v>
                </c:pt>
                <c:pt idx="8">
                  <c:v>0</c:v>
                </c:pt>
                <c:pt idx="9">
                  <c:v>1.4421395204409122</c:v>
                </c:pt>
                <c:pt idx="10">
                  <c:v>0</c:v>
                </c:pt>
                <c:pt idx="11">
                  <c:v>0</c:v>
                </c:pt>
                <c:pt idx="12">
                  <c:v>0.67531526273885656</c:v>
                </c:pt>
                <c:pt idx="13">
                  <c:v>0</c:v>
                </c:pt>
                <c:pt idx="14">
                  <c:v>1.6221957180465203</c:v>
                </c:pt>
                <c:pt idx="15">
                  <c:v>0</c:v>
                </c:pt>
              </c:numCache>
            </c:numRef>
          </c:xVal>
          <c:yVal>
            <c:numRef>
              <c:f>'Hidden layer weights'!$P$2:$P$17</c:f>
              <c:numCache>
                <c:formatCode>General</c:formatCode>
                <c:ptCount val="16"/>
                <c:pt idx="0">
                  <c:v>-0.72870418728457542</c:v>
                </c:pt>
                <c:pt idx="1">
                  <c:v>-0.13626175859792874</c:v>
                </c:pt>
                <c:pt idx="2">
                  <c:v>0.75240188443204126</c:v>
                </c:pt>
                <c:pt idx="3">
                  <c:v>-1.3211466159712222</c:v>
                </c:pt>
                <c:pt idx="4">
                  <c:v>1.344844313118688</c:v>
                </c:pt>
                <c:pt idx="5">
                  <c:v>-0.84719267302190471</c:v>
                </c:pt>
                <c:pt idx="6">
                  <c:v>4.1470970008065267E-2</c:v>
                </c:pt>
                <c:pt idx="7">
                  <c:v>0.45618067008871793</c:v>
                </c:pt>
                <c:pt idx="8">
                  <c:v>-1.2619023731025574</c:v>
                </c:pt>
                <c:pt idx="9">
                  <c:v>1.522577041724682</c:v>
                </c:pt>
                <c:pt idx="10">
                  <c:v>-0.19550600146659342</c:v>
                </c:pt>
                <c:pt idx="11">
                  <c:v>-0.66945994441591072</c:v>
                </c:pt>
                <c:pt idx="12">
                  <c:v>0.69315764156337667</c:v>
                </c:pt>
                <c:pt idx="13">
                  <c:v>-1.3803908588398868</c:v>
                </c:pt>
                <c:pt idx="14">
                  <c:v>1.6410655274620114</c:v>
                </c:pt>
                <c:pt idx="15">
                  <c:v>-0.61021570154724614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33-B94D-8E81-AEF582B2E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16255"/>
        <c:axId val="111134463"/>
      </c:scatterChart>
      <c:valAx>
        <c:axId val="9281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4463"/>
        <c:crosses val="autoZero"/>
        <c:crossBetween val="midCat"/>
      </c:valAx>
      <c:valAx>
        <c:axId val="1111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222834645669292"/>
                  <c:y val="3.161271507728200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Validation!$L$2:$L$5</c:f>
              <c:numCache>
                <c:formatCode>General</c:formatCode>
                <c:ptCount val="4"/>
                <c:pt idx="0">
                  <c:v>0.18523444060097316</c:v>
                </c:pt>
                <c:pt idx="1">
                  <c:v>0.50099951176468693</c:v>
                </c:pt>
                <c:pt idx="2">
                  <c:v>0</c:v>
                </c:pt>
                <c:pt idx="3">
                  <c:v>1.4268731144474547</c:v>
                </c:pt>
              </c:numCache>
            </c:numRef>
          </c:xVal>
          <c:yVal>
            <c:numRef>
              <c:f>Validation!$M$2:$M$5</c:f>
              <c:numCache>
                <c:formatCode>General</c:formatCode>
                <c:ptCount val="4"/>
                <c:pt idx="0">
                  <c:v>0.10071521287672994</c:v>
                </c:pt>
                <c:pt idx="1">
                  <c:v>0.57466915582604727</c:v>
                </c:pt>
                <c:pt idx="2">
                  <c:v>-1.4396351017085514</c:v>
                </c:pt>
                <c:pt idx="3">
                  <c:v>1.4633327988560174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08-1548-A1FC-8AECCB350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152896"/>
        <c:axId val="2134156480"/>
      </c:scatterChart>
      <c:valAx>
        <c:axId val="213415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56480"/>
        <c:crosses val="autoZero"/>
        <c:crossBetween val="midCat"/>
      </c:valAx>
      <c:valAx>
        <c:axId val="21341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5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622300</xdr:colOff>
      <xdr:row>22</xdr:row>
      <xdr:rowOff>19050</xdr:rowOff>
    </xdr:from>
    <xdr:to>
      <xdr:col>17</xdr:col>
      <xdr:colOff>508000</xdr:colOff>
      <xdr:row>35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1B36C-4A72-E0D6-B46D-732FCAF41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1727200</xdr:colOff>
      <xdr:row>12</xdr:row>
      <xdr:rowOff>6350</xdr:rowOff>
    </xdr:from>
    <xdr:to>
      <xdr:col>10</xdr:col>
      <xdr:colOff>50800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3D0F8-C45B-9209-574D-193F25B3C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973F-2D8B-504A-AFF1-177F69BCD732}">
  <dimension ref="A1:I22"/>
  <sheetViews>
    <sheetView workbookViewId="0">
      <selection activeCell="A19" sqref="A19:D22"/>
    </sheetView>
  </sheetViews>
  <sheetFormatPr baseColWidth="10" defaultRowHeight="16" x14ac:dyDescent="0.2"/>
  <cols>
    <col min="1" max="1" width="19.33203125" customWidth="1"/>
    <col min="2" max="2" width="22.6640625" customWidth="1"/>
    <col min="3" max="3" width="21.6640625" customWidth="1"/>
    <col min="4" max="4" width="25.33203125" customWidth="1"/>
    <col min="5" max="5" width="17.33203125" customWidth="1"/>
    <col min="6" max="6" width="18.83203125" customWidth="1"/>
    <col min="7" max="7" width="19.6640625" customWidth="1"/>
    <col min="8" max="8" width="19.83203125" customWidth="1"/>
    <col min="9" max="9" width="25.6640625" customWidth="1"/>
  </cols>
  <sheetData>
    <row r="1" spans="1:9" x14ac:dyDescent="0.2">
      <c r="A1" s="2" t="s">
        <v>0</v>
      </c>
      <c r="B1" s="2"/>
      <c r="C1" s="2"/>
      <c r="D1" s="1" t="s">
        <v>1</v>
      </c>
    </row>
    <row r="2" spans="1:9" x14ac:dyDescent="0.2">
      <c r="A2" t="s">
        <v>2</v>
      </c>
      <c r="B2" t="s">
        <v>3</v>
      </c>
      <c r="C2" t="s">
        <v>4</v>
      </c>
      <c r="D2" t="s">
        <v>5</v>
      </c>
      <c r="F2" t="s">
        <v>2</v>
      </c>
      <c r="G2" t="s">
        <v>3</v>
      </c>
      <c r="H2" t="s">
        <v>4</v>
      </c>
      <c r="I2" t="s">
        <v>5</v>
      </c>
    </row>
    <row r="3" spans="1:9" x14ac:dyDescent="0.2">
      <c r="A3">
        <v>3</v>
      </c>
      <c r="B3">
        <v>2</v>
      </c>
      <c r="C3">
        <v>22.5</v>
      </c>
      <c r="D3">
        <v>300</v>
      </c>
      <c r="E3" s="1" t="s">
        <v>7</v>
      </c>
      <c r="F3" s="1">
        <f>AVERAGE(A3:A22)</f>
        <v>4</v>
      </c>
      <c r="G3" s="1">
        <f>AVERAGE(B3:B22)</f>
        <v>3.15</v>
      </c>
      <c r="H3" s="1">
        <f>AVERAGE(C3:C22)</f>
        <v>21.655000000000001</v>
      </c>
      <c r="I3" s="1">
        <f>AVERAGE(D3:D22)</f>
        <v>423</v>
      </c>
    </row>
    <row r="4" spans="1:9" x14ac:dyDescent="0.2">
      <c r="A4">
        <v>4</v>
      </c>
      <c r="B4">
        <v>3</v>
      </c>
      <c r="C4">
        <v>21</v>
      </c>
      <c r="D4">
        <v>400</v>
      </c>
      <c r="E4" s="1" t="s">
        <v>8</v>
      </c>
      <c r="F4" s="1">
        <f>_xlfn.STDEV.P(A3:A22)</f>
        <v>1.4142135623730951</v>
      </c>
      <c r="G4" s="1">
        <f t="shared" ref="G4:I4" si="0">_xlfn.STDEV.P(B3:B22)</f>
        <v>1.4239030865898141</v>
      </c>
      <c r="H4" s="1">
        <f t="shared" si="0"/>
        <v>3.100721690187628</v>
      </c>
      <c r="I4" s="1">
        <f t="shared" si="0"/>
        <v>168.79277235711248</v>
      </c>
    </row>
    <row r="5" spans="1:9" x14ac:dyDescent="0.2">
      <c r="A5">
        <v>5</v>
      </c>
      <c r="B5">
        <v>4</v>
      </c>
      <c r="C5">
        <v>19.8</v>
      </c>
      <c r="D5">
        <v>550</v>
      </c>
    </row>
    <row r="6" spans="1:9" x14ac:dyDescent="0.2">
      <c r="A6">
        <v>2</v>
      </c>
      <c r="B6">
        <v>1</v>
      </c>
      <c r="C6">
        <v>25.1</v>
      </c>
      <c r="D6">
        <v>200</v>
      </c>
    </row>
    <row r="7" spans="1:9" x14ac:dyDescent="0.2">
      <c r="A7">
        <v>6</v>
      </c>
      <c r="B7">
        <v>5</v>
      </c>
      <c r="C7">
        <v>18.3</v>
      </c>
      <c r="D7">
        <v>650</v>
      </c>
    </row>
    <row r="8" spans="1:9" x14ac:dyDescent="0.2">
      <c r="A8">
        <v>3</v>
      </c>
      <c r="B8">
        <v>2</v>
      </c>
      <c r="C8">
        <v>24.2</v>
      </c>
      <c r="D8">
        <v>280</v>
      </c>
    </row>
    <row r="9" spans="1:9" x14ac:dyDescent="0.2">
      <c r="A9">
        <v>4</v>
      </c>
      <c r="B9">
        <v>4</v>
      </c>
      <c r="C9">
        <v>20.100000000000001</v>
      </c>
      <c r="D9">
        <v>430</v>
      </c>
    </row>
    <row r="10" spans="1:9" x14ac:dyDescent="0.2">
      <c r="A10">
        <v>5</v>
      </c>
      <c r="B10">
        <v>3</v>
      </c>
      <c r="C10">
        <v>19.600000000000001</v>
      </c>
      <c r="D10">
        <v>500</v>
      </c>
    </row>
    <row r="11" spans="1:9" x14ac:dyDescent="0.2">
      <c r="A11">
        <v>2</v>
      </c>
      <c r="B11">
        <v>2</v>
      </c>
      <c r="C11">
        <v>26.3</v>
      </c>
      <c r="D11">
        <v>210</v>
      </c>
    </row>
    <row r="12" spans="1:9" x14ac:dyDescent="0.2">
      <c r="A12">
        <v>6</v>
      </c>
      <c r="B12">
        <v>5</v>
      </c>
      <c r="C12">
        <v>17.899999999999999</v>
      </c>
      <c r="D12">
        <v>680</v>
      </c>
    </row>
    <row r="13" spans="1:9" x14ac:dyDescent="0.2">
      <c r="A13">
        <v>4</v>
      </c>
      <c r="B13">
        <v>3</v>
      </c>
      <c r="C13">
        <v>22.8</v>
      </c>
      <c r="D13">
        <v>390</v>
      </c>
    </row>
    <row r="14" spans="1:9" x14ac:dyDescent="0.2">
      <c r="A14">
        <v>3</v>
      </c>
      <c r="B14">
        <v>2</v>
      </c>
      <c r="C14">
        <v>23.5</v>
      </c>
      <c r="D14">
        <v>310</v>
      </c>
    </row>
    <row r="15" spans="1:9" x14ac:dyDescent="0.2">
      <c r="A15">
        <v>5</v>
      </c>
      <c r="B15">
        <v>4</v>
      </c>
      <c r="C15">
        <v>18.600000000000001</v>
      </c>
      <c r="D15">
        <v>540</v>
      </c>
    </row>
    <row r="16" spans="1:9" x14ac:dyDescent="0.2">
      <c r="A16">
        <v>2</v>
      </c>
      <c r="B16">
        <v>1</v>
      </c>
      <c r="C16">
        <v>25.5</v>
      </c>
      <c r="D16">
        <v>190</v>
      </c>
    </row>
    <row r="17" spans="1:6" x14ac:dyDescent="0.2">
      <c r="A17">
        <v>6</v>
      </c>
      <c r="B17">
        <v>6</v>
      </c>
      <c r="C17">
        <v>16.7</v>
      </c>
      <c r="D17">
        <v>700</v>
      </c>
    </row>
    <row r="18" spans="1:6" x14ac:dyDescent="0.2">
      <c r="A18">
        <v>3</v>
      </c>
      <c r="B18">
        <v>3</v>
      </c>
      <c r="C18">
        <v>24.8</v>
      </c>
      <c r="D18">
        <v>320</v>
      </c>
    </row>
    <row r="19" spans="1:6" x14ac:dyDescent="0.2">
      <c r="A19">
        <v>4</v>
      </c>
      <c r="B19">
        <v>4</v>
      </c>
      <c r="C19">
        <v>21.9</v>
      </c>
      <c r="D19">
        <v>440</v>
      </c>
      <c r="E19" s="3" t="s">
        <v>6</v>
      </c>
      <c r="F19" s="3"/>
    </row>
    <row r="20" spans="1:6" x14ac:dyDescent="0.2">
      <c r="A20">
        <v>5</v>
      </c>
      <c r="B20">
        <v>3</v>
      </c>
      <c r="C20">
        <v>20</v>
      </c>
      <c r="D20">
        <v>520</v>
      </c>
      <c r="E20" s="3"/>
      <c r="F20" s="3"/>
    </row>
    <row r="21" spans="1:6" x14ac:dyDescent="0.2">
      <c r="A21">
        <v>2</v>
      </c>
      <c r="B21">
        <v>1</v>
      </c>
      <c r="C21">
        <v>27.2</v>
      </c>
      <c r="D21">
        <v>180</v>
      </c>
      <c r="E21" s="3"/>
      <c r="F21" s="3"/>
    </row>
    <row r="22" spans="1:6" x14ac:dyDescent="0.2">
      <c r="A22">
        <v>6</v>
      </c>
      <c r="B22">
        <v>5</v>
      </c>
      <c r="C22">
        <v>17.3</v>
      </c>
      <c r="D22">
        <v>670</v>
      </c>
      <c r="E22" s="3"/>
      <c r="F22" s="3"/>
    </row>
  </sheetData>
  <mergeCells count="2">
    <mergeCell ref="A1:C1"/>
    <mergeCell ref="E19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FE0B-327D-1A41-927F-322E05FCC216}">
  <dimension ref="A1:F22"/>
  <sheetViews>
    <sheetView workbookViewId="0">
      <selection activeCell="D19" sqref="D19:D22"/>
    </sheetView>
  </sheetViews>
  <sheetFormatPr baseColWidth="10" defaultRowHeight="16" x14ac:dyDescent="0.2"/>
  <cols>
    <col min="1" max="1" width="21.5" customWidth="1"/>
    <col min="2" max="2" width="20.5" customWidth="1"/>
    <col min="3" max="3" width="22.1640625" customWidth="1"/>
    <col min="4" max="4" width="24.1640625" customWidth="1"/>
  </cols>
  <sheetData>
    <row r="1" spans="1:4" x14ac:dyDescent="0.2">
      <c r="A1" s="2" t="s">
        <v>0</v>
      </c>
      <c r="B1" s="2"/>
      <c r="C1" s="2"/>
      <c r="D1" s="1" t="s">
        <v>1</v>
      </c>
    </row>
    <row r="2" spans="1:4" x14ac:dyDescent="0.2">
      <c r="A2" t="s">
        <v>2</v>
      </c>
      <c r="B2" t="s">
        <v>3</v>
      </c>
      <c r="C2" t="s">
        <v>4</v>
      </c>
      <c r="D2" t="s">
        <v>5</v>
      </c>
    </row>
    <row r="3" spans="1:4" x14ac:dyDescent="0.2">
      <c r="A3">
        <f>(Dataset!A3-Dataset!F$3)/Dataset!F$4</f>
        <v>-0.70710678118654746</v>
      </c>
      <c r="B3">
        <f>(Dataset!B3-Dataset!G$3)/Dataset!G$4</f>
        <v>-0.80763923530371706</v>
      </c>
      <c r="C3">
        <f>(Dataset!C3-Dataset!H$3)/Dataset!H$4</f>
        <v>0.27251720226102172</v>
      </c>
      <c r="D3">
        <f>(Dataset!D3-Dataset!I$3)/Dataset!I$4</f>
        <v>-0.72870418728457542</v>
      </c>
    </row>
    <row r="4" spans="1:4" x14ac:dyDescent="0.2">
      <c r="A4">
        <f>(Dataset!A4-Dataset!F$3)/Dataset!F$4</f>
        <v>0</v>
      </c>
      <c r="B4">
        <f>(Dataset!B4-Dataset!G$3)/Dataset!G$4</f>
        <v>-0.10534424808309348</v>
      </c>
      <c r="C4">
        <f>(Dataset!C4-Dataset!H$3)/Dataset!H$4</f>
        <v>-0.2112411449478932</v>
      </c>
      <c r="D4">
        <f>(Dataset!D4-Dataset!I$3)/Dataset!I$4</f>
        <v>-0.13626175859792874</v>
      </c>
    </row>
    <row r="5" spans="1:4" x14ac:dyDescent="0.2">
      <c r="A5">
        <f>(Dataset!A5-Dataset!F$3)/Dataset!F$4</f>
        <v>0.70710678118654746</v>
      </c>
      <c r="B5">
        <f>(Dataset!B5-Dataset!G$3)/Dataset!G$4</f>
        <v>0.59695073913753016</v>
      </c>
      <c r="C5">
        <f>(Dataset!C5-Dataset!H$3)/Dataset!H$4</f>
        <v>-0.59824782271502486</v>
      </c>
      <c r="D5">
        <f>(Dataset!D5-Dataset!I$3)/Dataset!I$4</f>
        <v>0.75240188443204126</v>
      </c>
    </row>
    <row r="6" spans="1:4" x14ac:dyDescent="0.2">
      <c r="A6">
        <f>(Dataset!A6-Dataset!F$3)/Dataset!F$4</f>
        <v>-1.4142135623730949</v>
      </c>
      <c r="B6">
        <f>(Dataset!B6-Dataset!G$3)/Dataset!G$4</f>
        <v>-1.5099342225243406</v>
      </c>
      <c r="C6">
        <f>(Dataset!C6-Dataset!H$3)/Dataset!H$4</f>
        <v>1.1110316707564747</v>
      </c>
      <c r="D6">
        <f>(Dataset!D6-Dataset!I$3)/Dataset!I$4</f>
        <v>-1.3211466159712222</v>
      </c>
    </row>
    <row r="7" spans="1:4" x14ac:dyDescent="0.2">
      <c r="A7">
        <f>(Dataset!A7-Dataset!F$3)/Dataset!F$4</f>
        <v>1.4142135623730949</v>
      </c>
      <c r="B7">
        <f>(Dataset!B7-Dataset!G$3)/Dataset!G$4</f>
        <v>1.2992457263581536</v>
      </c>
      <c r="C7">
        <f>(Dataset!C7-Dataset!H$3)/Dataset!H$4</f>
        <v>-1.0820061699239398</v>
      </c>
      <c r="D7">
        <f>(Dataset!D7-Dataset!I$3)/Dataset!I$4</f>
        <v>1.344844313118688</v>
      </c>
    </row>
    <row r="8" spans="1:4" x14ac:dyDescent="0.2">
      <c r="A8">
        <f>(Dataset!A8-Dataset!F$3)/Dataset!F$4</f>
        <v>-0.70710678118654746</v>
      </c>
      <c r="B8">
        <f>(Dataset!B8-Dataset!G$3)/Dataset!G$4</f>
        <v>-0.80763923530371706</v>
      </c>
      <c r="C8">
        <f>(Dataset!C8-Dataset!H$3)/Dataset!H$4</f>
        <v>0.82077666243112501</v>
      </c>
      <c r="D8">
        <f>(Dataset!D8-Dataset!I$3)/Dataset!I$4</f>
        <v>-0.84719267302190471</v>
      </c>
    </row>
    <row r="9" spans="1:4" x14ac:dyDescent="0.2">
      <c r="A9">
        <f>(Dataset!A9-Dataset!F$3)/Dataset!F$4</f>
        <v>0</v>
      </c>
      <c r="B9">
        <f>(Dataset!B9-Dataset!G$3)/Dataset!G$4</f>
        <v>0.59695073913753016</v>
      </c>
      <c r="C9">
        <f>(Dataset!C9-Dataset!H$3)/Dataset!H$4</f>
        <v>-0.50149615327324171</v>
      </c>
      <c r="D9">
        <f>(Dataset!D9-Dataset!I$3)/Dataset!I$4</f>
        <v>4.1470970008065267E-2</v>
      </c>
    </row>
    <row r="10" spans="1:4" x14ac:dyDescent="0.2">
      <c r="A10">
        <f>(Dataset!A10-Dataset!F$3)/Dataset!F$4</f>
        <v>0.70710678118654746</v>
      </c>
      <c r="B10">
        <f>(Dataset!B10-Dataset!G$3)/Dataset!G$4</f>
        <v>-0.10534424808309348</v>
      </c>
      <c r="C10">
        <f>(Dataset!C10-Dataset!H$3)/Dataset!H$4</f>
        <v>-0.66274893567621329</v>
      </c>
      <c r="D10">
        <f>(Dataset!D10-Dataset!I$3)/Dataset!I$4</f>
        <v>0.45618067008871793</v>
      </c>
    </row>
    <row r="11" spans="1:4" x14ac:dyDescent="0.2">
      <c r="A11">
        <f>(Dataset!A11-Dataset!F$3)/Dataset!F$4</f>
        <v>-1.4142135623730949</v>
      </c>
      <c r="B11">
        <f>(Dataset!B11-Dataset!G$3)/Dataset!G$4</f>
        <v>-0.80763923530371706</v>
      </c>
      <c r="C11">
        <f>(Dataset!C11-Dataset!H$3)/Dataset!H$4</f>
        <v>1.4980383485236064</v>
      </c>
      <c r="D11">
        <f>(Dataset!D11-Dataset!I$3)/Dataset!I$4</f>
        <v>-1.2619023731025574</v>
      </c>
    </row>
    <row r="12" spans="1:4" x14ac:dyDescent="0.2">
      <c r="A12">
        <f>(Dataset!A12-Dataset!F$3)/Dataset!F$4</f>
        <v>1.4142135623730949</v>
      </c>
      <c r="B12">
        <f>(Dataset!B12-Dataset!G$3)/Dataset!G$4</f>
        <v>1.2992457263581536</v>
      </c>
      <c r="C12">
        <f>(Dataset!C12-Dataset!H$3)/Dataset!H$4</f>
        <v>-1.2110083958463178</v>
      </c>
      <c r="D12">
        <f>(Dataset!D12-Dataset!I$3)/Dataset!I$4</f>
        <v>1.522577041724682</v>
      </c>
    </row>
    <row r="13" spans="1:4" x14ac:dyDescent="0.2">
      <c r="A13">
        <f>(Dataset!A13-Dataset!F$3)/Dataset!F$4</f>
        <v>0</v>
      </c>
      <c r="B13">
        <f>(Dataset!B13-Dataset!G$3)/Dataset!G$4</f>
        <v>-0.10534424808309348</v>
      </c>
      <c r="C13">
        <f>(Dataset!C13-Dataset!H$3)/Dataset!H$4</f>
        <v>0.36926887170280492</v>
      </c>
      <c r="D13">
        <f>(Dataset!D13-Dataset!I$3)/Dataset!I$4</f>
        <v>-0.19550600146659342</v>
      </c>
    </row>
    <row r="14" spans="1:4" x14ac:dyDescent="0.2">
      <c r="A14">
        <f>(Dataset!A14-Dataset!F$3)/Dataset!F$4</f>
        <v>-0.70710678118654746</v>
      </c>
      <c r="B14">
        <f>(Dataset!B14-Dataset!G$3)/Dataset!G$4</f>
        <v>-0.80763923530371706</v>
      </c>
      <c r="C14">
        <f>(Dataset!C14-Dataset!H$3)/Dataset!H$4</f>
        <v>0.595022767066965</v>
      </c>
      <c r="D14">
        <f>(Dataset!D14-Dataset!I$3)/Dataset!I$4</f>
        <v>-0.66945994441591072</v>
      </c>
    </row>
    <row r="15" spans="1:4" x14ac:dyDescent="0.2">
      <c r="A15">
        <f>(Dataset!A15-Dataset!F$3)/Dataset!F$4</f>
        <v>0.70710678118654746</v>
      </c>
      <c r="B15">
        <f>(Dataset!B15-Dataset!G$3)/Dataset!G$4</f>
        <v>0.59695073913753016</v>
      </c>
      <c r="C15">
        <f>(Dataset!C15-Dataset!H$3)/Dataset!H$4</f>
        <v>-0.98525450048215657</v>
      </c>
      <c r="D15">
        <f>(Dataset!D15-Dataset!I$3)/Dataset!I$4</f>
        <v>0.69315764156337667</v>
      </c>
    </row>
    <row r="16" spans="1:4" x14ac:dyDescent="0.2">
      <c r="A16">
        <f>(Dataset!A16-Dataset!F$3)/Dataset!F$4</f>
        <v>-1.4142135623730949</v>
      </c>
      <c r="B16">
        <f>(Dataset!B16-Dataset!G$3)/Dataset!G$4</f>
        <v>-1.5099342225243406</v>
      </c>
      <c r="C16">
        <f>(Dataset!C16-Dataset!H$3)/Dataset!H$4</f>
        <v>1.2400338966788516</v>
      </c>
      <c r="D16">
        <f>(Dataset!D16-Dataset!I$3)/Dataset!I$4</f>
        <v>-1.3803908588398868</v>
      </c>
    </row>
    <row r="17" spans="1:6" x14ac:dyDescent="0.2">
      <c r="A17">
        <f>(Dataset!A17-Dataset!F$3)/Dataset!F$4</f>
        <v>1.4142135623730949</v>
      </c>
      <c r="B17">
        <f>(Dataset!B17-Dataset!G$3)/Dataset!G$4</f>
        <v>2.0015407135787773</v>
      </c>
      <c r="C17">
        <f>(Dataset!C17-Dataset!H$3)/Dataset!H$4</f>
        <v>-1.5980150736134495</v>
      </c>
      <c r="D17">
        <f>(Dataset!D17-Dataset!I$3)/Dataset!I$4</f>
        <v>1.6410655274620114</v>
      </c>
    </row>
    <row r="18" spans="1:6" x14ac:dyDescent="0.2">
      <c r="A18">
        <f>(Dataset!A18-Dataset!F$3)/Dataset!F$4</f>
        <v>-0.70710678118654746</v>
      </c>
      <c r="B18">
        <f>(Dataset!B18-Dataset!G$3)/Dataset!G$4</f>
        <v>-0.10534424808309348</v>
      </c>
      <c r="C18">
        <f>(Dataset!C18-Dataset!H$3)/Dataset!H$4</f>
        <v>1.0142800013146915</v>
      </c>
      <c r="D18">
        <f>(Dataset!D18-Dataset!I$3)/Dataset!I$4</f>
        <v>-0.61021570154724614</v>
      </c>
    </row>
    <row r="19" spans="1:6" x14ac:dyDescent="0.2">
      <c r="A19">
        <f>(Dataset!A19-Dataset!F$3)/Dataset!F$4</f>
        <v>0</v>
      </c>
      <c r="B19">
        <f>(Dataset!B19-Dataset!G$3)/Dataset!G$4</f>
        <v>0.59695073913753016</v>
      </c>
      <c r="C19">
        <f>(Dataset!C19-Dataset!H$3)/Dataset!H$4</f>
        <v>7.9013863377455279E-2</v>
      </c>
      <c r="D19">
        <f>(Dataset!D19-Dataset!I$3)/Dataset!I$4</f>
        <v>0.10071521287672994</v>
      </c>
      <c r="E19" s="3" t="s">
        <v>6</v>
      </c>
      <c r="F19" s="3"/>
    </row>
    <row r="20" spans="1:6" x14ac:dyDescent="0.2">
      <c r="A20">
        <f>(Dataset!A20-Dataset!F$3)/Dataset!F$4</f>
        <v>0.70710678118654746</v>
      </c>
      <c r="B20">
        <f>(Dataset!B20-Dataset!G$3)/Dataset!G$4</f>
        <v>-0.10534424808309348</v>
      </c>
      <c r="C20">
        <f>(Dataset!C20-Dataset!H$3)/Dataset!H$4</f>
        <v>-0.53374670975383642</v>
      </c>
      <c r="D20">
        <f>(Dataset!D20-Dataset!I$3)/Dataset!I$4</f>
        <v>0.57466915582604727</v>
      </c>
      <c r="E20" s="3"/>
      <c r="F20" s="3"/>
    </row>
    <row r="21" spans="1:6" x14ac:dyDescent="0.2">
      <c r="A21">
        <f>(Dataset!A21-Dataset!F$3)/Dataset!F$4</f>
        <v>-1.4142135623730949</v>
      </c>
      <c r="B21">
        <f>(Dataset!B21-Dataset!G$3)/Dataset!G$4</f>
        <v>-1.5099342225243406</v>
      </c>
      <c r="C21">
        <f>(Dataset!C21-Dataset!H$3)/Dataset!H$4</f>
        <v>1.7882933568489547</v>
      </c>
      <c r="D21">
        <f>(Dataset!D21-Dataset!I$3)/Dataset!I$4</f>
        <v>-1.4396351017085514</v>
      </c>
      <c r="E21" s="3"/>
      <c r="F21" s="3"/>
    </row>
    <row r="22" spans="1:6" x14ac:dyDescent="0.2">
      <c r="A22">
        <f>(Dataset!A22-Dataset!F$3)/Dataset!F$4</f>
        <v>1.4142135623730949</v>
      </c>
      <c r="B22">
        <f>(Dataset!B22-Dataset!G$3)/Dataset!G$4</f>
        <v>1.2992457263581536</v>
      </c>
      <c r="C22">
        <f>(Dataset!C22-Dataset!H$3)/Dataset!H$4</f>
        <v>-1.404511734729883</v>
      </c>
      <c r="D22">
        <f>(Dataset!D22-Dataset!I$3)/Dataset!I$4</f>
        <v>1.4633327988560174</v>
      </c>
      <c r="E22" s="3"/>
      <c r="F22" s="3"/>
    </row>
  </sheetData>
  <mergeCells count="2">
    <mergeCell ref="A1:C1"/>
    <mergeCell ref="E19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BEA-295D-CA4F-BE78-D61305A6DE79}">
  <dimension ref="A1:T21"/>
  <sheetViews>
    <sheetView workbookViewId="0">
      <selection activeCell="Q2" sqref="Q2"/>
    </sheetView>
  </sheetViews>
  <sheetFormatPr baseColWidth="10" defaultRowHeight="16" x14ac:dyDescent="0.2"/>
  <cols>
    <col min="1" max="1" width="16.5" customWidth="1"/>
    <col min="9" max="9" width="13.1640625" customWidth="1"/>
    <col min="15" max="15" width="14.83203125" customWidth="1"/>
    <col min="16" max="16" width="14.1640625" customWidth="1"/>
  </cols>
  <sheetData>
    <row r="1" spans="1:20" x14ac:dyDescent="0.2">
      <c r="A1" s="4" t="s">
        <v>9</v>
      </c>
      <c r="B1" s="4"/>
      <c r="C1" s="4"/>
      <c r="D1" s="4"/>
      <c r="E1" s="4"/>
      <c r="I1" t="s">
        <v>25</v>
      </c>
      <c r="J1" t="s">
        <v>29</v>
      </c>
      <c r="K1" t="s">
        <v>28</v>
      </c>
      <c r="L1" t="s">
        <v>27</v>
      </c>
      <c r="M1" t="s">
        <v>26</v>
      </c>
      <c r="O1" t="s">
        <v>30</v>
      </c>
      <c r="P1" t="s">
        <v>31</v>
      </c>
      <c r="Q1" t="s">
        <v>32</v>
      </c>
      <c r="T1" t="s">
        <v>34</v>
      </c>
    </row>
    <row r="2" spans="1:20" x14ac:dyDescent="0.2">
      <c r="B2" t="s">
        <v>15</v>
      </c>
      <c r="C2" t="s">
        <v>16</v>
      </c>
      <c r="D2" t="s">
        <v>17</v>
      </c>
      <c r="E2" t="s">
        <v>18</v>
      </c>
      <c r="I2">
        <f>IF(SUMPRODUCT($B$3:$D$3,'Standardized data'!A3:C3)+'Hidden layer weights'!$E$3&lt;0,0,SUMPRODUCT($B$3:$D$3,'Standardized data'!A3:C3)+'Hidden layer weights'!$E$3)</f>
        <v>0</v>
      </c>
      <c r="J2">
        <f>IF(SUMPRODUCT($B$4:$D$4,'Standardized data'!A3:C3)+'Hidden layer weights'!$E$4&lt;0,0,SUMPRODUCT($B$4:$D$4,'Standardized data'!A3:C3)+'Hidden layer weights'!$E$4)</f>
        <v>0</v>
      </c>
      <c r="K2">
        <f>IF(SUMPRODUCT($B$5:$D$5,'Standardized data'!A3:C3)+'Hidden layer weights'!$E$5&lt;0,0,SUMPRODUCT($B$5:$D$5,'Standardized data'!A3:C3)+'Hidden layer weights'!$E$5)</f>
        <v>0</v>
      </c>
      <c r="L2">
        <f>IF(SUMPRODUCT($B$6:$D$6,'Standardized data'!A3:C3)+'Hidden layer weights'!$E$6&lt;0,0,SUMPRODUCT($B$6:$D$6,'Standardized data'!A3:C3)+'Hidden layer weights'!$E$6)</f>
        <v>0</v>
      </c>
      <c r="M2">
        <f>IF(SUMPRODUCT($B$7:$D$7,'Standardized data'!A3:C3)+'Hidden layer weights'!$E$7&lt;0,0,SUMPRODUCT($B$7:$D$7,'Standardized data'!A3:C3)+'Hidden layer weights'!$E$7)</f>
        <v>0</v>
      </c>
      <c r="O2">
        <f>SUMPRODUCT($A$12:$E$12,I2:M2)+$F$12</f>
        <v>0</v>
      </c>
      <c r="P2">
        <f>'Standardized data'!D3</f>
        <v>-0.72870418728457542</v>
      </c>
      <c r="Q2">
        <f>(O2-P2)^2</f>
        <v>0.53100979256607361</v>
      </c>
      <c r="T2">
        <f>SUM(Q2:Q17)</f>
        <v>7.4010415302898727</v>
      </c>
    </row>
    <row r="3" spans="1:20" x14ac:dyDescent="0.2">
      <c r="A3" t="s">
        <v>10</v>
      </c>
      <c r="B3">
        <v>0.10790316670040256</v>
      </c>
      <c r="C3">
        <v>1.8560740814752787</v>
      </c>
      <c r="D3">
        <v>6.4247200085446085E-2</v>
      </c>
      <c r="E3">
        <v>0</v>
      </c>
      <c r="I3">
        <f>IF(SUMPRODUCT($B$3:$D$3,'Standardized data'!A4:C4)+'Hidden layer weights'!$E$3&lt;0,0,SUMPRODUCT($B$3:$D$3,'Standardized data'!A4:C4)+'Hidden layer weights'!$E$3)</f>
        <v>0</v>
      </c>
      <c r="J3">
        <f>IF(SUMPRODUCT($B$4:$D$4,'Standardized data'!A4:C4)+'Hidden layer weights'!$E$4&lt;0,0,SUMPRODUCT($B$4:$D$4,'Standardized data'!A4:C4)+'Hidden layer weights'!$E$4)</f>
        <v>9.1165392969112274E-2</v>
      </c>
      <c r="K3">
        <f>IF(SUMPRODUCT($B$5:$D$5,'Standardized data'!A4:C4)+'Hidden layer weights'!$E$5&lt;0,0,SUMPRODUCT($B$5:$D$5,'Standardized data'!A4:C4)+'Hidden layer weights'!$E$5)</f>
        <v>0</v>
      </c>
      <c r="L3">
        <f>IF(SUMPRODUCT($B$6:$D$6,'Standardized data'!A4:C4)+'Hidden layer weights'!$E$6&lt;0,0,SUMPRODUCT($B$6:$D$6,'Standardized data'!A4:C4)+'Hidden layer weights'!$E$6)</f>
        <v>0.10121348537661329</v>
      </c>
      <c r="M3">
        <f>IF(SUMPRODUCT($B$7:$D$7,'Standardized data'!A4:C4)+'Hidden layer weights'!$E$7&lt;0,0,SUMPRODUCT($B$7:$D$7,'Standardized data'!A4:C4)+'Hidden layer weights'!$E$7)</f>
        <v>0</v>
      </c>
      <c r="O3">
        <f t="shared" ref="O3:O17" si="0">SUMPRODUCT($A$12:$E$12,I3:M3)+$F$12</f>
        <v>0</v>
      </c>
      <c r="P3">
        <f>'Standardized data'!D4</f>
        <v>-0.13626175859792874</v>
      </c>
      <c r="Q3">
        <f t="shared" ref="Q3:Q17" si="1">(O3-P3)^2</f>
        <v>1.8567266856200207E-2</v>
      </c>
    </row>
    <row r="4" spans="1:20" x14ac:dyDescent="0.2">
      <c r="A4" t="s">
        <v>11</v>
      </c>
      <c r="B4">
        <v>2.1215110339306707E-2</v>
      </c>
      <c r="C4">
        <v>0.18750791077319687</v>
      </c>
      <c r="D4">
        <v>0</v>
      </c>
      <c r="E4">
        <v>0.11091827283914649</v>
      </c>
      <c r="I4">
        <f>IF(SUMPRODUCT($B$3:$D$3,'Standardized data'!A5:C5)+'Hidden layer weights'!$E$3&lt;0,0,SUMPRODUCT($B$3:$D$3,'Standardized data'!A5:C5)+'Hidden layer weights'!$E$3)</f>
        <v>1.1458481081493825</v>
      </c>
      <c r="J4">
        <f>IF(SUMPRODUCT($B$4:$D$4,'Standardized data'!A5:C5)+'Hidden layer weights'!$E$4&lt;0,0,SUMPRODUCT($B$4:$D$4,'Standardized data'!A5:C5)+'Hidden layer weights'!$E$4)</f>
        <v>0.23785260715388501</v>
      </c>
      <c r="K4">
        <f>IF(SUMPRODUCT($B$5:$D$5,'Standardized data'!A5:C5)+'Hidden layer weights'!$E$5&lt;0,0,SUMPRODUCT($B$5:$D$5,'Standardized data'!A5:C5)+'Hidden layer weights'!$E$5)</f>
        <v>1.8912799089845949</v>
      </c>
      <c r="L4">
        <f>IF(SUMPRODUCT($B$6:$D$6,'Standardized data'!A5:C5)+'Hidden layer weights'!$E$6&lt;0,0,SUMPRODUCT($B$6:$D$6,'Standardized data'!A5:C5)+'Hidden layer weights'!$E$6)</f>
        <v>0.74309983769577348</v>
      </c>
      <c r="M4">
        <f>IF(SUMPRODUCT($B$7:$D$7,'Standardized data'!A5:C5)+'Hidden layer weights'!$E$7&lt;0,0,SUMPRODUCT($B$7:$D$7,'Standardized data'!A5:C5)+'Hidden layer weights'!$E$7)</f>
        <v>0.76999397521469948</v>
      </c>
      <c r="O4">
        <f t="shared" si="0"/>
        <v>0.70584807472577171</v>
      </c>
      <c r="P4">
        <f>'Standardized data'!D5</f>
        <v>0.75240188443204126</v>
      </c>
      <c r="Q4">
        <f t="shared" si="1"/>
        <v>2.1672571981675563E-3</v>
      </c>
    </row>
    <row r="5" spans="1:20" x14ac:dyDescent="0.2">
      <c r="A5" t="s">
        <v>12</v>
      </c>
      <c r="B5">
        <v>2.1890927864790162</v>
      </c>
      <c r="C5">
        <v>0.78777176603063992</v>
      </c>
      <c r="D5">
        <v>0.21212510629627626</v>
      </c>
      <c r="E5">
        <v>0</v>
      </c>
      <c r="I5">
        <f>IF(SUMPRODUCT($B$3:$D$3,'Standardized data'!A6:C6)+'Hidden layer weights'!$E$3&lt;0,0,SUMPRODUCT($B$3:$D$3,'Standardized data'!A6:C6)+'Hidden layer weights'!$E$3)</f>
        <v>0</v>
      </c>
      <c r="J5">
        <f>IF(SUMPRODUCT($B$4:$D$4,'Standardized data'!A6:C6)+'Hidden layer weights'!$E$4&lt;0,0,SUMPRODUCT($B$4:$D$4,'Standardized data'!A6:C6)+'Hidden layer weights'!$E$4)</f>
        <v>0</v>
      </c>
      <c r="K5">
        <f>IF(SUMPRODUCT($B$5:$D$5,'Standardized data'!A6:C6)+'Hidden layer weights'!$E$5&lt;0,0,SUMPRODUCT($B$5:$D$5,'Standardized data'!A6:C6)+'Hidden layer weights'!$E$5)</f>
        <v>0</v>
      </c>
      <c r="L5">
        <f>IF(SUMPRODUCT($B$6:$D$6,'Standardized data'!A6:C6)+'Hidden layer weights'!$E$6&lt;0,0,SUMPRODUCT($B$6:$D$6,'Standardized data'!A6:C6)+'Hidden layer weights'!$E$6)</f>
        <v>0</v>
      </c>
      <c r="M5">
        <f>IF(SUMPRODUCT($B$7:$D$7,'Standardized data'!A6:C6)+'Hidden layer weights'!$E$7&lt;0,0,SUMPRODUCT($B$7:$D$7,'Standardized data'!A6:C6)+'Hidden layer weights'!$E$7)</f>
        <v>0</v>
      </c>
      <c r="O5">
        <f t="shared" si="0"/>
        <v>0</v>
      </c>
      <c r="P5">
        <f>'Standardized data'!D6</f>
        <v>-1.3211466159712222</v>
      </c>
      <c r="Q5">
        <f t="shared" si="1"/>
        <v>1.745428380892212</v>
      </c>
    </row>
    <row r="6" spans="1:20" x14ac:dyDescent="0.2">
      <c r="A6" t="s">
        <v>13</v>
      </c>
      <c r="B6">
        <v>0.74004457065360518</v>
      </c>
      <c r="C6">
        <v>0.54068650557783093</v>
      </c>
      <c r="D6">
        <v>0.67473152143529957</v>
      </c>
      <c r="E6">
        <v>0.30070275787581185</v>
      </c>
      <c r="I6">
        <f>IF(SUMPRODUCT($B$3:$D$3,'Standardized data'!A7:C7)+'Hidden layer weights'!$E$3&lt;0,0,SUMPRODUCT($B$3:$D$3,'Standardized data'!A7:C7)+'Hidden layer weights'!$E$3)</f>
        <v>2.4945785730388153</v>
      </c>
      <c r="J6">
        <f>IF(SUMPRODUCT($B$4:$D$4,'Standardized data'!A7:C7)+'Hidden layer weights'!$E$4&lt;0,0,SUMPRODUCT($B$4:$D$4,'Standardized data'!A7:C7)+'Hidden layer weights'!$E$4)</f>
        <v>0.38453982133865772</v>
      </c>
      <c r="K6">
        <f>IF(SUMPRODUCT($B$5:$D$5,'Standardized data'!A7:C7)+'Hidden layer weights'!$E$5&lt;0,0,SUMPRODUCT($B$5:$D$5,'Standardized data'!A7:C7)+'Hidden layer weights'!$E$5)</f>
        <v>3.8898331344843156</v>
      </c>
      <c r="L6">
        <f>IF(SUMPRODUCT($B$6:$D$6,'Standardized data'!A7:C7)+'Hidden layer weights'!$E$6&lt;0,0,SUMPRODUCT($B$6:$D$6,'Standardized data'!A7:C7)+'Hidden layer weights'!$E$6)</f>
        <v>1.319704788891074</v>
      </c>
      <c r="M6">
        <f>IF(SUMPRODUCT($B$7:$D$7,'Standardized data'!A7:C7)+'Hidden layer weights'!$E$7&lt;0,0,SUMPRODUCT($B$7:$D$7,'Standardized data'!A7:C7)+'Hidden layer weights'!$E$7)</f>
        <v>1.5458615278440937</v>
      </c>
      <c r="O6">
        <f t="shared" si="0"/>
        <v>1.4523171244365507</v>
      </c>
      <c r="P6">
        <f>'Standardized data'!D7</f>
        <v>1.344844313118688</v>
      </c>
      <c r="Q6">
        <f t="shared" si="1"/>
        <v>1.1550405172564913E-2</v>
      </c>
    </row>
    <row r="7" spans="1:20" x14ac:dyDescent="0.2">
      <c r="A7" t="s">
        <v>14</v>
      </c>
      <c r="B7">
        <v>9.8812907313639536E-2</v>
      </c>
      <c r="C7">
        <v>1.0052702762313406</v>
      </c>
      <c r="D7">
        <v>0</v>
      </c>
      <c r="E7">
        <v>0.10002586395517928</v>
      </c>
      <c r="I7">
        <f>IF(SUMPRODUCT($B$3:$D$3,'Standardized data'!A8:C8)+'Hidden layer weights'!$E$3&lt;0,0,SUMPRODUCT($B$3:$D$3,'Standardized data'!A8:C8)+'Hidden layer weights'!$E$3)</f>
        <v>0</v>
      </c>
      <c r="J7">
        <f>IF(SUMPRODUCT($B$4:$D$4,'Standardized data'!A8:C8)+'Hidden layer weights'!$E$4&lt;0,0,SUMPRODUCT($B$4:$D$4,'Standardized data'!A8:C8)+'Hidden layer weights'!$E$4)</f>
        <v>0</v>
      </c>
      <c r="K7">
        <f>IF(SUMPRODUCT($B$5:$D$5,'Standardized data'!A8:C8)+'Hidden layer weights'!$E$5&lt;0,0,SUMPRODUCT($B$5:$D$5,'Standardized data'!A8:C8)+'Hidden layer weights'!$E$5)</f>
        <v>0</v>
      </c>
      <c r="L7">
        <f>IF(SUMPRODUCT($B$6:$D$6,'Standardized data'!A8:C8)+'Hidden layer weights'!$E$6&lt;0,0,SUMPRODUCT($B$6:$D$6,'Standardized data'!A8:C8)+'Hidden layer weights'!$E$6)</f>
        <v>0</v>
      </c>
      <c r="M7">
        <f>IF(SUMPRODUCT($B$7:$D$7,'Standardized data'!A8:C8)+'Hidden layer weights'!$E$7&lt;0,0,SUMPRODUCT($B$7:$D$7,'Standardized data'!A8:C8)+'Hidden layer weights'!$E$7)</f>
        <v>0</v>
      </c>
      <c r="O7">
        <f t="shared" si="0"/>
        <v>0</v>
      </c>
      <c r="P7">
        <f>'Standardized data'!D8</f>
        <v>-0.84719267302190471</v>
      </c>
      <c r="Q7">
        <f t="shared" si="1"/>
        <v>0.71773542522199996</v>
      </c>
    </row>
    <row r="8" spans="1:20" x14ac:dyDescent="0.2">
      <c r="I8">
        <f>IF(SUMPRODUCT($B$3:$D$3,'Standardized data'!A9:C9)+'Hidden layer weights'!$E$3&lt;0,0,SUMPRODUCT($B$3:$D$3,'Standardized data'!A9:C9)+'Hidden layer weights'!$E$3)</f>
        <v>1.0757650711292526</v>
      </c>
      <c r="J8">
        <f>IF(SUMPRODUCT($B$4:$D$4,'Standardized data'!A9:C9)+'Hidden layer weights'!$E$4&lt;0,0,SUMPRODUCT($B$4:$D$4,'Standardized data'!A9:C9)+'Hidden layer weights'!$E$4)</f>
        <v>0.22285125876934042</v>
      </c>
      <c r="K8">
        <f>IF(SUMPRODUCT($B$5:$D$5,'Standardized data'!A9:C9)+'Hidden layer weights'!$E$5&lt;0,0,SUMPRODUCT($B$5:$D$5,'Standardized data'!A9:C9)+'Hidden layer weights'!$E$5)</f>
        <v>0.36388101318340793</v>
      </c>
      <c r="L8">
        <f>IF(SUMPRODUCT($B$6:$D$6,'Standardized data'!A9:C9)+'Hidden layer weights'!$E$6&lt;0,0,SUMPRODUCT($B$6:$D$6,'Standardized data'!A9:C9)+'Hidden layer weights'!$E$6)</f>
        <v>0.28509070453018182</v>
      </c>
      <c r="M8">
        <f>IF(SUMPRODUCT($B$7:$D$7,'Standardized data'!A9:C9)+'Hidden layer weights'!$E$7&lt;0,0,SUMPRODUCT($B$7:$D$7,'Standardized data'!A9:C9)+'Hidden layer weights'!$E$7)</f>
        <v>0.70012269838446717</v>
      </c>
      <c r="O8">
        <f t="shared" si="0"/>
        <v>0.13943522262060043</v>
      </c>
      <c r="P8">
        <f>'Standardized data'!D9</f>
        <v>4.1470970008065267E-2</v>
      </c>
      <c r="Q8">
        <f t="shared" si="1"/>
        <v>9.596994789932603E-3</v>
      </c>
    </row>
    <row r="9" spans="1:20" x14ac:dyDescent="0.2">
      <c r="I9">
        <f>IF(SUMPRODUCT($B$3:$D$3,'Standardized data'!A10:C10)+'Hidden layer weights'!$E$3&lt;0,0,SUMPRODUCT($B$3:$D$3,'Standardized data'!A10:C10)+'Hidden layer weights'!$E$3)</f>
        <v>0</v>
      </c>
      <c r="J9">
        <f>IF(SUMPRODUCT($B$4:$D$4,'Standardized data'!A10:C10)+'Hidden layer weights'!$E$4&lt;0,0,SUMPRODUCT($B$4:$D$4,'Standardized data'!A10:C10)+'Hidden layer weights'!$E$4)</f>
        <v>0.10616674135365689</v>
      </c>
      <c r="K9">
        <f>IF(SUMPRODUCT($B$5:$D$5,'Standardized data'!A10:C10)+'Hidden layer weights'!$E$5&lt;0,0,SUMPRODUCT($B$5:$D$5,'Standardized data'!A10:C10)+'Hidden layer weights'!$E$5)</f>
        <v>1.324349441184218</v>
      </c>
      <c r="L9">
        <f>IF(SUMPRODUCT($B$6:$D$6,'Standardized data'!A10:C10)+'Hidden layer weights'!$E$6&lt;0,0,SUMPRODUCT($B$6:$D$6,'Standardized data'!A10:C10)+'Hidden layer weights'!$E$6)</f>
        <v>0.31985748108805429</v>
      </c>
      <c r="M9">
        <f>IF(SUMPRODUCT($B$7:$D$7,'Standardized data'!A10:C10)+'Hidden layer weights'!$E$7&lt;0,0,SUMPRODUCT($B$7:$D$7,'Standardized data'!A10:C10)+'Hidden layer weights'!$E$7)</f>
        <v>6.3997699415537332E-2</v>
      </c>
      <c r="O9">
        <f t="shared" si="0"/>
        <v>0.49085708802304007</v>
      </c>
      <c r="P9">
        <f>'Standardized data'!D10</f>
        <v>0.45618067008871793</v>
      </c>
      <c r="Q9">
        <f t="shared" si="1"/>
        <v>1.2024539607557777E-3</v>
      </c>
    </row>
    <row r="10" spans="1:20" x14ac:dyDescent="0.2">
      <c r="A10" s="2" t="s">
        <v>19</v>
      </c>
      <c r="B10" s="2"/>
      <c r="C10" s="2"/>
      <c r="D10" s="2"/>
      <c r="E10" s="2"/>
      <c r="I10">
        <f>IF(SUMPRODUCT($B$3:$D$3,'Standardized data'!A11:C11)+'Hidden layer weights'!$E$3&lt;0,0,SUMPRODUCT($B$3:$D$3,'Standardized data'!A11:C11)+'Hidden layer weights'!$E$3)</f>
        <v>0</v>
      </c>
      <c r="J10">
        <f>IF(SUMPRODUCT($B$4:$D$4,'Standardized data'!A11:C11)+'Hidden layer weights'!$E$4&lt;0,0,SUMPRODUCT($B$4:$D$4,'Standardized data'!A11:C11)+'Hidden layer weights'!$E$4)</f>
        <v>0</v>
      </c>
      <c r="K10">
        <f>IF(SUMPRODUCT($B$5:$D$5,'Standardized data'!A11:C11)+'Hidden layer weights'!$E$5&lt;0,0,SUMPRODUCT($B$5:$D$5,'Standardized data'!A11:C11)+'Hidden layer weights'!$E$5)</f>
        <v>0</v>
      </c>
      <c r="L10">
        <f>IF(SUMPRODUCT($B$6:$D$6,'Standardized data'!A11:C11)+'Hidden layer weights'!$E$6&lt;0,0,SUMPRODUCT($B$6:$D$6,'Standardized data'!A11:C11)+'Hidden layer weights'!$E$6)</f>
        <v>0</v>
      </c>
      <c r="M10">
        <f>IF(SUMPRODUCT($B$7:$D$7,'Standardized data'!A11:C11)+'Hidden layer weights'!$E$7&lt;0,0,SUMPRODUCT($B$7:$D$7,'Standardized data'!A11:C11)+'Hidden layer weights'!$E$7)</f>
        <v>0</v>
      </c>
      <c r="O10">
        <f t="shared" si="0"/>
        <v>0</v>
      </c>
      <c r="P10">
        <f>'Standardized data'!D11</f>
        <v>-1.2619023731025574</v>
      </c>
      <c r="Q10">
        <f t="shared" si="1"/>
        <v>1.592397599241866</v>
      </c>
    </row>
    <row r="11" spans="1:20" x14ac:dyDescent="0.2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18</v>
      </c>
      <c r="I11">
        <f>IF(SUMPRODUCT($B$3:$D$3,'Standardized data'!A12:C12)+'Hidden layer weights'!$E$3&lt;0,0,SUMPRODUCT($B$3:$D$3,'Standardized data'!A12:C12)+'Hidden layer weights'!$E$3)</f>
        <v>2.4862905412185121</v>
      </c>
      <c r="J11">
        <f>IF(SUMPRODUCT($B$4:$D$4,'Standardized data'!A12:C12)+'Hidden layer weights'!$E$4&lt;0,0,SUMPRODUCT($B$4:$D$4,'Standardized data'!A12:C12)+'Hidden layer weights'!$E$4)</f>
        <v>0.38453982133865772</v>
      </c>
      <c r="K11">
        <f>IF(SUMPRODUCT($B$5:$D$5,'Standardized data'!A12:C12)+'Hidden layer weights'!$E$5&lt;0,0,SUMPRODUCT($B$5:$D$5,'Standardized data'!A12:C12)+'Hidden layer weights'!$E$5)</f>
        <v>3.8624685235980749</v>
      </c>
      <c r="L11">
        <f>IF(SUMPRODUCT($B$6:$D$6,'Standardized data'!A12:C12)+'Hidden layer weights'!$E$6&lt;0,0,SUMPRODUCT($B$6:$D$6,'Standardized data'!A12:C12)+'Hidden layer weights'!$E$6)</f>
        <v>1.2326629207259276</v>
      </c>
      <c r="M11">
        <f>IF(SUMPRODUCT($B$7:$D$7,'Standardized data'!A12:C12)+'Hidden layer weights'!$E$7&lt;0,0,SUMPRODUCT($B$7:$D$7,'Standardized data'!A12:C12)+'Hidden layer weights'!$E$7)</f>
        <v>1.5458615278440937</v>
      </c>
      <c r="O11">
        <f t="shared" si="0"/>
        <v>1.4421395204409122</v>
      </c>
      <c r="P11">
        <f>'Standardized data'!D12</f>
        <v>1.522577041724682</v>
      </c>
      <c r="Q11">
        <f t="shared" si="1"/>
        <v>6.4701948302769196E-3</v>
      </c>
    </row>
    <row r="12" spans="1:20" x14ac:dyDescent="0.2">
      <c r="A12">
        <v>4.2447054685921552E-3</v>
      </c>
      <c r="B12">
        <v>0</v>
      </c>
      <c r="C12">
        <v>0.37064015943112516</v>
      </c>
      <c r="D12">
        <v>0</v>
      </c>
      <c r="E12">
        <v>0</v>
      </c>
      <c r="F12">
        <v>0</v>
      </c>
      <c r="I12">
        <f>IF(SUMPRODUCT($B$3:$D$3,'Standardized data'!A13:C13)+'Hidden layer weights'!$E$3&lt;0,0,SUMPRODUCT($B$3:$D$3,'Standardized data'!A13:C13)+'Hidden layer weights'!$E$3)</f>
        <v>0</v>
      </c>
      <c r="J12">
        <f>IF(SUMPRODUCT($B$4:$D$4,'Standardized data'!A13:C13)+'Hidden layer weights'!$E$4&lt;0,0,SUMPRODUCT($B$4:$D$4,'Standardized data'!A13:C13)+'Hidden layer weights'!$E$4)</f>
        <v>9.1165392969112274E-2</v>
      </c>
      <c r="K12">
        <f>IF(SUMPRODUCT($B$5:$D$5,'Standardized data'!A13:C13)+'Hidden layer weights'!$E$5&lt;0,0,SUMPRODUCT($B$5:$D$5,'Standardized data'!A13:C13)+'Hidden layer weights'!$E$5)</f>
        <v>0</v>
      </c>
      <c r="L12">
        <f>IF(SUMPRODUCT($B$6:$D$6,'Standardized data'!A13:C13)+'Hidden layer weights'!$E$6&lt;0,0,SUMPRODUCT($B$6:$D$6,'Standardized data'!A13:C13)+'Hidden layer weights'!$E$6)</f>
        <v>0.49290189211976992</v>
      </c>
      <c r="M12">
        <f>IF(SUMPRODUCT($B$7:$D$7,'Standardized data'!A13:C13)+'Hidden layer weights'!$E$7&lt;0,0,SUMPRODUCT($B$7:$D$7,'Standardized data'!A13:C13)+'Hidden layer weights'!$E$7)</f>
        <v>0</v>
      </c>
      <c r="O12">
        <f t="shared" si="0"/>
        <v>0</v>
      </c>
      <c r="P12">
        <f>'Standardized data'!D13</f>
        <v>-0.19550600146659342</v>
      </c>
      <c r="Q12">
        <f t="shared" si="1"/>
        <v>3.8222596609455629E-2</v>
      </c>
    </row>
    <row r="13" spans="1:20" x14ac:dyDescent="0.2">
      <c r="I13">
        <f>IF(SUMPRODUCT($B$3:$D$3,'Standardized data'!A14:C14)+'Hidden layer weights'!$E$3&lt;0,0,SUMPRODUCT($B$3:$D$3,'Standardized data'!A14:C14)+'Hidden layer weights'!$E$3)</f>
        <v>0</v>
      </c>
      <c r="J13">
        <f>IF(SUMPRODUCT($B$4:$D$4,'Standardized data'!A14:C14)+'Hidden layer weights'!$E$4&lt;0,0,SUMPRODUCT($B$4:$D$4,'Standardized data'!A14:C14)+'Hidden layer weights'!$E$4)</f>
        <v>0</v>
      </c>
      <c r="K13">
        <f>IF(SUMPRODUCT($B$5:$D$5,'Standardized data'!A14:C14)+'Hidden layer weights'!$E$5&lt;0,0,SUMPRODUCT($B$5:$D$5,'Standardized data'!A14:C14)+'Hidden layer weights'!$E$5)</f>
        <v>0</v>
      </c>
      <c r="L13">
        <f>IF(SUMPRODUCT($B$6:$D$6,'Standardized data'!A14:C14)+'Hidden layer weights'!$E$6&lt;0,0,SUMPRODUCT($B$6:$D$6,'Standardized data'!A14:C14)+'Hidden layer weights'!$E$6)</f>
        <v>0</v>
      </c>
      <c r="M13">
        <f>IF(SUMPRODUCT($B$7:$D$7,'Standardized data'!A14:C14)+'Hidden layer weights'!$E$7&lt;0,0,SUMPRODUCT($B$7:$D$7,'Standardized data'!A14:C14)+'Hidden layer weights'!$E$7)</f>
        <v>0</v>
      </c>
      <c r="O13">
        <f t="shared" si="0"/>
        <v>0</v>
      </c>
      <c r="P13">
        <f>'Standardized data'!D14</f>
        <v>-0.66945994441591072</v>
      </c>
      <c r="Q13">
        <f t="shared" si="1"/>
        <v>0.4481766171773543</v>
      </c>
    </row>
    <row r="14" spans="1:20" x14ac:dyDescent="0.2">
      <c r="I14">
        <f>IF(SUMPRODUCT($B$3:$D$3,'Standardized data'!A15:C15)+'Hidden layer weights'!$E$3&lt;0,0,SUMPRODUCT($B$3:$D$3,'Standardized data'!A15:C15)+'Hidden layer weights'!$E$3)</f>
        <v>1.1209840126884738</v>
      </c>
      <c r="J14">
        <f>IF(SUMPRODUCT($B$4:$D$4,'Standardized data'!A15:C15)+'Hidden layer weights'!$E$4&lt;0,0,SUMPRODUCT($B$4:$D$4,'Standardized data'!A15:C15)+'Hidden layer weights'!$E$4)</f>
        <v>0.23785260715388501</v>
      </c>
      <c r="K14">
        <f>IF(SUMPRODUCT($B$5:$D$5,'Standardized data'!A15:C15)+'Hidden layer weights'!$E$5&lt;0,0,SUMPRODUCT($B$5:$D$5,'Standardized data'!A15:C15)+'Hidden layer weights'!$E$5)</f>
        <v>1.8091860763258731</v>
      </c>
      <c r="L14">
        <f>IF(SUMPRODUCT($B$6:$D$6,'Standardized data'!A15:C15)+'Hidden layer weights'!$E$6&lt;0,0,SUMPRODUCT($B$6:$D$6,'Standardized data'!A15:C15)+'Hidden layer weights'!$E$6)</f>
        <v>0.481974233200336</v>
      </c>
      <c r="M14">
        <f>IF(SUMPRODUCT($B$7:$D$7,'Standardized data'!A15:C15)+'Hidden layer weights'!$E$7&lt;0,0,SUMPRODUCT($B$7:$D$7,'Standardized data'!A15:C15)+'Hidden layer weights'!$E$7)</f>
        <v>0.76999397521469948</v>
      </c>
      <c r="O14">
        <f t="shared" si="0"/>
        <v>0.67531526273885656</v>
      </c>
      <c r="P14">
        <f>'Standardized data'!D15</f>
        <v>0.69315764156337667</v>
      </c>
      <c r="Q14">
        <f t="shared" si="1"/>
        <v>3.1835048211768368E-4</v>
      </c>
    </row>
    <row r="15" spans="1:20" x14ac:dyDescent="0.2">
      <c r="I15">
        <f>IF(SUMPRODUCT($B$3:$D$3,'Standardized data'!A16:C16)+'Hidden layer weights'!$E$3&lt;0,0,SUMPRODUCT($B$3:$D$3,'Standardized data'!A16:C16)+'Hidden layer weights'!$E$3)</f>
        <v>0</v>
      </c>
      <c r="J15">
        <f>IF(SUMPRODUCT($B$4:$D$4,'Standardized data'!A16:C16)+'Hidden layer weights'!$E$4&lt;0,0,SUMPRODUCT($B$4:$D$4,'Standardized data'!A16:C16)+'Hidden layer weights'!$E$4)</f>
        <v>0</v>
      </c>
      <c r="K15">
        <f>IF(SUMPRODUCT($B$5:$D$5,'Standardized data'!A16:C16)+'Hidden layer weights'!$E$5&lt;0,0,SUMPRODUCT($B$5:$D$5,'Standardized data'!A16:C16)+'Hidden layer weights'!$E$5)</f>
        <v>0</v>
      </c>
      <c r="L15">
        <f>IF(SUMPRODUCT($B$6:$D$6,'Standardized data'!A16:C16)+'Hidden layer weights'!$E$6&lt;0,0,SUMPRODUCT($B$6:$D$6,'Standardized data'!A16:C16)+'Hidden layer weights'!$E$6)</f>
        <v>0</v>
      </c>
      <c r="M15">
        <f>IF(SUMPRODUCT($B$7:$D$7,'Standardized data'!A16:C16)+'Hidden layer weights'!$E$7&lt;0,0,SUMPRODUCT($B$7:$D$7,'Standardized data'!A16:C16)+'Hidden layer weights'!$E$7)</f>
        <v>0</v>
      </c>
      <c r="O15">
        <f t="shared" si="0"/>
        <v>0</v>
      </c>
      <c r="P15">
        <f>'Standardized data'!D16</f>
        <v>-1.3803908588398868</v>
      </c>
      <c r="Q15">
        <f t="shared" si="1"/>
        <v>1.9054789231687201</v>
      </c>
    </row>
    <row r="16" spans="1:20" x14ac:dyDescent="0.2">
      <c r="I16">
        <f>IF(SUMPRODUCT($B$3:$D$3,'Standardized data'!A17:C17)+'Hidden layer weights'!$E$3&lt;0,0,SUMPRODUCT($B$3:$D$3,'Standardized data'!A17:C17)+'Hidden layer weights'!$E$3)</f>
        <v>3.7649379690878151</v>
      </c>
      <c r="J16">
        <f>IF(SUMPRODUCT($B$4:$D$4,'Standardized data'!A17:C17)+'Hidden layer weights'!$E$4&lt;0,0,SUMPRODUCT($B$4:$D$4,'Standardized data'!A17:C17)+'Hidden layer weights'!$E$4)</f>
        <v>0.51622568713888584</v>
      </c>
      <c r="K16">
        <f>IF(SUMPRODUCT($B$5:$D$5,'Standardized data'!A17:C17)+'Hidden layer weights'!$E$5&lt;0,0,SUMPRODUCT($B$5:$D$5,'Standardized data'!A17:C17)+'Hidden layer weights'!$E$5)</f>
        <v>4.3336228532966095</v>
      </c>
      <c r="L16">
        <f>IF(SUMPRODUCT($B$6:$D$6,'Standardized data'!A17:C17)+'Hidden layer weights'!$E$6&lt;0,0,SUMPRODUCT($B$6:$D$6,'Standardized data'!A17:C17)+'Hidden layer weights'!$E$6)</f>
        <v>1.351258738755637</v>
      </c>
      <c r="M16">
        <f>IF(SUMPRODUCT($B$7:$D$7,'Standardized data'!A17:C17)+'Hidden layer weights'!$E$7&lt;0,0,SUMPRODUCT($B$7:$D$7,'Standardized data'!A17:C17)+'Hidden layer weights'!$E$7)</f>
        <v>2.2518578036432562</v>
      </c>
      <c r="O16">
        <f t="shared" si="0"/>
        <v>1.6221957180465203</v>
      </c>
      <c r="P16">
        <f>'Standardized data'!D17</f>
        <v>1.6410655274620114</v>
      </c>
      <c r="Q16">
        <f t="shared" si="1"/>
        <v>3.5606970737695663E-4</v>
      </c>
    </row>
    <row r="17" spans="9:19" x14ac:dyDescent="0.2">
      <c r="I17">
        <f>IF(SUMPRODUCT($B$3:$D$3,'Standardized data'!A18:C18)+'Hidden layer weights'!$E$3&lt;0,0,SUMPRODUCT($B$3:$D$3,'Standardized data'!A18:C18)+'Hidden layer weights'!$E$3)</f>
        <v>0</v>
      </c>
      <c r="J17">
        <f>IF(SUMPRODUCT($B$4:$D$4,'Standardized data'!A18:C18)+'Hidden layer weights'!$E$4&lt;0,0,SUMPRODUCT($B$4:$D$4,'Standardized data'!A18:C18)+'Hidden layer weights'!$E$4)</f>
        <v>7.6164044584567672E-2</v>
      </c>
      <c r="K17">
        <f>IF(SUMPRODUCT($B$5:$D$5,'Standardized data'!A18:C18)+'Hidden layer weights'!$E$5&lt;0,0,SUMPRODUCT($B$5:$D$5,'Standardized data'!A18:C18)+'Hidden layer weights'!$E$5)</f>
        <v>0</v>
      </c>
      <c r="L17">
        <f>IF(SUMPRODUCT($B$6:$D$6,'Standardized data'!A18:C18)+'Hidden layer weights'!$E$6&lt;0,0,SUMPRODUCT($B$6:$D$6,'Standardized data'!A18:C18)+'Hidden layer weights'!$E$6)</f>
        <v>0.40482069865604814</v>
      </c>
      <c r="M17">
        <f>IF(SUMPRODUCT($B$7:$D$7,'Standardized data'!A18:C18)+'Hidden layer weights'!$E$7&lt;0,0,SUMPRODUCT($B$7:$D$7,'Standardized data'!A18:C18)+'Hidden layer weights'!$E$7)</f>
        <v>0</v>
      </c>
      <c r="O17">
        <f t="shared" si="0"/>
        <v>0</v>
      </c>
      <c r="P17">
        <f>'Standardized data'!D18</f>
        <v>-0.61021570154724614</v>
      </c>
      <c r="Q17">
        <f t="shared" si="1"/>
        <v>0.37236320241479776</v>
      </c>
    </row>
    <row r="18" spans="9:19" x14ac:dyDescent="0.2">
      <c r="R18" s="3" t="s">
        <v>33</v>
      </c>
      <c r="S18" s="3"/>
    </row>
    <row r="19" spans="9:19" x14ac:dyDescent="0.2">
      <c r="R19" s="3"/>
      <c r="S19" s="3"/>
    </row>
    <row r="20" spans="9:19" x14ac:dyDescent="0.2">
      <c r="R20" s="3"/>
      <c r="S20" s="3"/>
    </row>
    <row r="21" spans="9:19" x14ac:dyDescent="0.2">
      <c r="R21" s="3"/>
      <c r="S21" s="3"/>
    </row>
  </sheetData>
  <mergeCells count="3">
    <mergeCell ref="A1:E1"/>
    <mergeCell ref="A10:E10"/>
    <mergeCell ref="R18:S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6E40-5C65-3944-B0BC-E91234305C72}">
  <dimension ref="A1:M6"/>
  <sheetViews>
    <sheetView tabSelected="1" workbookViewId="0">
      <selection activeCell="K17" sqref="K17"/>
    </sheetView>
  </sheetViews>
  <sheetFormatPr baseColWidth="10" defaultRowHeight="16" x14ac:dyDescent="0.2"/>
  <cols>
    <col min="1" max="1" width="19.6640625" customWidth="1"/>
    <col min="2" max="2" width="23.6640625" customWidth="1"/>
    <col min="3" max="3" width="17.6640625" customWidth="1"/>
    <col min="4" max="4" width="23.33203125" customWidth="1"/>
    <col min="12" max="12" width="15" customWidth="1"/>
    <col min="13" max="13" width="13.6640625" customWidth="1"/>
  </cols>
  <sheetData>
    <row r="1" spans="1:13" x14ac:dyDescent="0.2">
      <c r="A1" s="2" t="s">
        <v>0</v>
      </c>
      <c r="B1" s="2"/>
      <c r="C1" s="2"/>
      <c r="D1" s="1" t="s">
        <v>1</v>
      </c>
      <c r="F1" t="s">
        <v>25</v>
      </c>
      <c r="G1" t="s">
        <v>29</v>
      </c>
      <c r="H1" t="s">
        <v>28</v>
      </c>
      <c r="I1" t="s">
        <v>27</v>
      </c>
      <c r="J1" t="s">
        <v>26</v>
      </c>
      <c r="L1" t="s">
        <v>30</v>
      </c>
      <c r="M1" t="s">
        <v>31</v>
      </c>
    </row>
    <row r="2" spans="1:13" x14ac:dyDescent="0.2">
      <c r="A2" t="s">
        <v>2</v>
      </c>
      <c r="B2" t="s">
        <v>3</v>
      </c>
      <c r="C2" t="s">
        <v>4</v>
      </c>
      <c r="D2" t="s">
        <v>5</v>
      </c>
      <c r="F2">
        <f>IF(SUMPRODUCT('Hidden layer weights'!$B$3:$D$3,Validation!A3:C3)+'Hidden layer weights'!$E$3&lt;0,0,SUMPRODUCT('Hidden layer weights'!$B$3:$D$3,Validation!A3:C3)+'Hidden layer weights'!$E$3)</f>
        <v>1.1130612143206156</v>
      </c>
      <c r="G2">
        <f>IF(SUMPRODUCT('Hidden layer weights'!$B$4:$D$4,Validation!A3:C3)+'Hidden layer weights'!$E$4&lt;0,0,SUMPRODUCT('Hidden layer weights'!$B$4:$D$4,Validation!A3:C3)+'Hidden layer weights'!$E$4)</f>
        <v>0.22285125876934042</v>
      </c>
      <c r="H2">
        <f>IF(SUMPRODUCT('Hidden layer weights'!$B$5:$D$5,Validation!A3:C3)+'Hidden layer weights'!$E$5&lt;0,0,SUMPRODUCT('Hidden layer weights'!$B$5:$D$5,Validation!A3:C3)+'Hidden layer weights'!$E$5)</f>
        <v>0.48702176217149012</v>
      </c>
      <c r="I2">
        <f>IF(SUMPRODUCT('Hidden layer weights'!$B$6:$D$6,Validation!A3:C3)+'Hidden layer weights'!$E$6&lt;0,0,SUMPRODUCT('Hidden layer weights'!$B$6:$D$6,Validation!A3:C3)+'Hidden layer weights'!$E$6)</f>
        <v>0.67677911127333767</v>
      </c>
      <c r="J2">
        <f>IF(SUMPRODUCT('Hidden layer weights'!$B$7:$D$7,Validation!A3:C3)+'Hidden layer weights'!$E$7&lt;0,0,SUMPRODUCT('Hidden layer weights'!$B$7:$D$7,Validation!A3:C3)+'Hidden layer weights'!$E$7)</f>
        <v>0.70012269838446717</v>
      </c>
      <c r="L2">
        <f>SUMPRODUCT('Hidden layer weights'!$A$12:$E$12,Validation!F2:J2)+'Hidden layer weights'!$F$12</f>
        <v>0.18523444060097316</v>
      </c>
      <c r="M2">
        <f>(Dataset!D19-Dataset!I$3)/Dataset!I$4</f>
        <v>0.10071521287672994</v>
      </c>
    </row>
    <row r="3" spans="1:13" x14ac:dyDescent="0.2">
      <c r="A3">
        <f>(Dataset!A19-Dataset!F$3)/Dataset!F$4</f>
        <v>0</v>
      </c>
      <c r="B3">
        <f>(Dataset!B19-Dataset!G$3)/Dataset!G$4</f>
        <v>0.59695073913753016</v>
      </c>
      <c r="C3">
        <f>(Dataset!C19-Dataset!H$3)/Dataset!H$4</f>
        <v>7.9013863377455279E-2</v>
      </c>
      <c r="D3">
        <f>(Dataset!D19-Dataset!I$3)/Dataset!I$4</f>
        <v>0.10071521287672994</v>
      </c>
      <c r="F3">
        <f>IF(SUMPRODUCT('Hidden layer weights'!$B$3:$D$3,Validation!A4:C4)+'Hidden layer weights'!$E$3&lt;0,0,SUMPRODUCT('Hidden layer weights'!$B$3:$D$3,Validation!A4:C4)+'Hidden layer weights'!$E$3)</f>
        <v>0</v>
      </c>
      <c r="G3">
        <f>IF(SUMPRODUCT('Hidden layer weights'!$B$4:$D$4,Validation!A4:C4)+'Hidden layer weights'!$E$4&lt;0,0,SUMPRODUCT('Hidden layer weights'!$B$4:$D$4,Validation!A4:C4)+'Hidden layer weights'!$E$4)</f>
        <v>0.10616674135365689</v>
      </c>
      <c r="H3">
        <f>IF(SUMPRODUCT('Hidden layer weights'!$B$5:$D$5,Validation!A4:C4)+'Hidden layer weights'!$E$5&lt;0,0,SUMPRODUCT('Hidden layer weights'!$B$5:$D$5,Validation!A4:C4)+'Hidden layer weights'!$E$5)</f>
        <v>1.3517140520704585</v>
      </c>
      <c r="I3">
        <f>IF(SUMPRODUCT('Hidden layer weights'!$B$6:$D$6,Validation!A4:C4)+'Hidden layer weights'!$E$6&lt;0,0,SUMPRODUCT('Hidden layer weights'!$B$6:$D$6,Validation!A4:C4)+'Hidden layer weights'!$E$6)</f>
        <v>0.40689934925319987</v>
      </c>
      <c r="J3">
        <f>IF(SUMPRODUCT('Hidden layer weights'!$B$7:$D$7,Validation!A4:C4)+'Hidden layer weights'!$E$7&lt;0,0,SUMPRODUCT('Hidden layer weights'!$B$7:$D$7,Validation!A4:C4)+'Hidden layer weights'!$E$7)</f>
        <v>6.3997699415537332E-2</v>
      </c>
      <c r="L3">
        <f>SUMPRODUCT('Hidden layer weights'!$A$12:$E$12,Validation!F3:J3)+'Hidden layer weights'!$F$12</f>
        <v>0.50099951176468693</v>
      </c>
      <c r="M3">
        <f>(Dataset!D20-Dataset!I$3)/Dataset!I$4</f>
        <v>0.57466915582604727</v>
      </c>
    </row>
    <row r="4" spans="1:13" x14ac:dyDescent="0.2">
      <c r="A4">
        <f>(Dataset!A20-Dataset!F$3)/Dataset!F$4</f>
        <v>0.70710678118654746</v>
      </c>
      <c r="B4">
        <f>(Dataset!B20-Dataset!G$3)/Dataset!G$4</f>
        <v>-0.10534424808309348</v>
      </c>
      <c r="C4">
        <f>(Dataset!C20-Dataset!H$3)/Dataset!H$4</f>
        <v>-0.53374670975383642</v>
      </c>
      <c r="D4">
        <f>(Dataset!D20-Dataset!I$3)/Dataset!I$4</f>
        <v>0.57466915582604727</v>
      </c>
      <c r="F4">
        <f>IF(SUMPRODUCT('Hidden layer weights'!$B$3:$D$3,Validation!A5:C5)+'Hidden layer weights'!$E$3&lt;0,0,SUMPRODUCT('Hidden layer weights'!$B$3:$D$3,Validation!A5:C5)+'Hidden layer weights'!$E$3)</f>
        <v>0</v>
      </c>
      <c r="G4">
        <f>IF(SUMPRODUCT('Hidden layer weights'!$B$4:$D$4,Validation!A5:C5)+'Hidden layer weights'!$E$4&lt;0,0,SUMPRODUCT('Hidden layer weights'!$B$4:$D$4,Validation!A5:C5)+'Hidden layer weights'!$E$4)</f>
        <v>0</v>
      </c>
      <c r="H4">
        <f>IF(SUMPRODUCT('Hidden layer weights'!$B$5:$D$5,Validation!A5:C5)+'Hidden layer weights'!$E$5&lt;0,0,SUMPRODUCT('Hidden layer weights'!$B$5:$D$5,Validation!A5:C5)+'Hidden layer weights'!$E$5)</f>
        <v>0</v>
      </c>
      <c r="I4">
        <f>IF(SUMPRODUCT('Hidden layer weights'!$B$6:$D$6,Validation!A5:C5)+'Hidden layer weights'!$E$6&lt;0,0,SUMPRODUCT('Hidden layer weights'!$B$6:$D$6,Validation!A5:C5)+'Hidden layer weights'!$E$6)</f>
        <v>0</v>
      </c>
      <c r="J4">
        <f>IF(SUMPRODUCT('Hidden layer weights'!$B$7:$D$7,Validation!A5:C5)+'Hidden layer weights'!$E$7&lt;0,0,SUMPRODUCT('Hidden layer weights'!$B$7:$D$7,Validation!A5:C5)+'Hidden layer weights'!$E$7)</f>
        <v>0</v>
      </c>
      <c r="L4">
        <f>SUMPRODUCT('Hidden layer weights'!$A$12:$E$12,Validation!F4:J4)+'Hidden layer weights'!$F$12</f>
        <v>0</v>
      </c>
      <c r="M4">
        <f>(Dataset!D21-Dataset!I$3)/Dataset!I$4</f>
        <v>-1.4396351017085514</v>
      </c>
    </row>
    <row r="5" spans="1:13" x14ac:dyDescent="0.2">
      <c r="A5">
        <f>(Dataset!A21-Dataset!F$3)/Dataset!F$4</f>
        <v>-1.4142135623730949</v>
      </c>
      <c r="B5">
        <f>(Dataset!B21-Dataset!G$3)/Dataset!G$4</f>
        <v>-1.5099342225243406</v>
      </c>
      <c r="C5">
        <f>(Dataset!C21-Dataset!H$3)/Dataset!H$4</f>
        <v>1.7882933568489547</v>
      </c>
      <c r="D5">
        <f>(Dataset!D21-Dataset!I$3)/Dataset!I$4</f>
        <v>-1.4396351017085514</v>
      </c>
      <c r="F5">
        <f>IF(SUMPRODUCT('Hidden layer weights'!$B$3:$D$3,Validation!A6:C6)+'Hidden layer weights'!$E$3&lt;0,0,SUMPRODUCT('Hidden layer weights'!$B$3:$D$3,Validation!A6:C6)+'Hidden layer weights'!$E$3)</f>
        <v>2.4738584934880579</v>
      </c>
      <c r="G5">
        <f>IF(SUMPRODUCT('Hidden layer weights'!$B$4:$D$4,Validation!A6:C6)+'Hidden layer weights'!$E$4&lt;0,0,SUMPRODUCT('Hidden layer weights'!$B$4:$D$4,Validation!A6:C6)+'Hidden layer weights'!$E$4)</f>
        <v>0.38453982133865772</v>
      </c>
      <c r="H5">
        <f>IF(SUMPRODUCT('Hidden layer weights'!$B$5:$D$5,Validation!A6:C6)+'Hidden layer weights'!$E$5&lt;0,0,SUMPRODUCT('Hidden layer weights'!$B$5:$D$5,Validation!A6:C6)+'Hidden layer weights'!$E$5)</f>
        <v>3.8214216072687144</v>
      </c>
      <c r="I5">
        <f>IF(SUMPRODUCT('Hidden layer weights'!$B$6:$D$6,Validation!A6:C6)+'Hidden layer weights'!$E$6&lt;0,0,SUMPRODUCT('Hidden layer weights'!$B$6:$D$6,Validation!A6:C6)+'Hidden layer weights'!$E$6)</f>
        <v>1.1021001184782093</v>
      </c>
      <c r="J5">
        <f>IF(SUMPRODUCT('Hidden layer weights'!$B$7:$D$7,Validation!A6:C6)+'Hidden layer weights'!$E$7&lt;0,0,SUMPRODUCT('Hidden layer weights'!$B$7:$D$7,Validation!A6:C6)+'Hidden layer weights'!$E$7)</f>
        <v>1.5458615278440937</v>
      </c>
      <c r="L5">
        <f>SUMPRODUCT('Hidden layer weights'!$A$12:$E$12,Validation!F5:J5)+'Hidden layer weights'!$F$12</f>
        <v>1.4268731144474547</v>
      </c>
      <c r="M5">
        <f>(Dataset!D22-Dataset!I$3)/Dataset!I$4</f>
        <v>1.4633327988560174</v>
      </c>
    </row>
    <row r="6" spans="1:13" x14ac:dyDescent="0.2">
      <c r="A6">
        <f>(Dataset!A22-Dataset!F$3)/Dataset!F$4</f>
        <v>1.4142135623730949</v>
      </c>
      <c r="B6">
        <f>(Dataset!B22-Dataset!G$3)/Dataset!G$4</f>
        <v>1.2992457263581536</v>
      </c>
      <c r="C6">
        <f>(Dataset!C22-Dataset!H$3)/Dataset!H$4</f>
        <v>-1.404511734729883</v>
      </c>
      <c r="D6">
        <f>(Dataset!D22-Dataset!I$3)/Dataset!I$4</f>
        <v>1.4633327988560174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Standardized data</vt:lpstr>
      <vt:lpstr>Hidden layer weights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Alna JP</dc:creator>
  <cp:lastModifiedBy>Alna JP</cp:lastModifiedBy>
  <dcterms:created xsi:type="dcterms:W3CDTF">2026-04-20T13:50:47Z</dcterms:created>
  <dcterms:modified xsi:type="dcterms:W3CDTF">2026-04-21T17:11:03Z</dcterms:modified>
</cp:coreProperties>
</file>